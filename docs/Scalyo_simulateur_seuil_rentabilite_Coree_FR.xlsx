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Guide" sheetId="1" state="visible" r:id="rId1"/>
    <sheet name="Synthese" sheetId="2" state="visible" r:id="rId2"/>
    <sheet name="Hypotheses" sheetId="3" state="visible" r:id="rId3"/>
    <sheet name="Calculateur" sheetId="4" state="visible" r:id="rId4"/>
    <sheet name="Previsions" sheetId="5" state="visible" r:id="rId5"/>
    <sheet name="Annuel" sheetId="6" state="visible" r:id="rId6"/>
  </sheets>
  <definedNames/>
  <calcPr calcId="124519" fullCalcOnLoad="1"/>
</workbook>
</file>

<file path=xl/styles.xml><?xml version="1.0" encoding="utf-8"?>
<styleSheet xmlns="http://schemas.openxmlformats.org/spreadsheetml/2006/main">
  <numFmts count="14">
    <numFmt numFmtId="164" formatCode="#,##0 ₩;(#,##0 ₩);&quot;-&quot;"/>
    <numFmt numFmtId="165" formatCode="#,##0 €"/>
    <numFmt numFmtId="166" formatCode="#,##0 $"/>
    <numFmt numFmtId="167" formatCode="0.0%;(0.0%);&quot;-&quot;"/>
    <numFmt numFmtId="168" formatCode="0.0000"/>
    <numFmt numFmtId="169" formatCode="0.00%;(0.00%);&quot;-&quot;"/>
    <numFmt numFmtId="170" formatCode="yyyy-mm-dd"/>
    <numFmt numFmtId="171" formatCode="mm/yyyy"/>
    <numFmt numFmtId="172" formatCode="#,##0.0"/>
    <numFmt numFmtId="173" formatCode="#,##0.0;(#,##0.0);&quot;-&quot;"/>
    <numFmt numFmtId="174" formatCode="#,##0.0&quot; h&quot;;(#,##0.0&quot; h&quot;);&quot;-&quot;"/>
    <numFmt numFmtId="175" formatCode="&quot;A&quot;0"/>
    <numFmt numFmtId="176" formatCode="&quot;mois &quot;0"/>
    <numFmt numFmtId="177" formatCode="#,##0 €;(#,##0 €);&quot;-&quot;"/>
  </numFmts>
  <fonts count="12">
    <font>
      <name val="Calibri"/>
      <family val="2"/>
      <color theme="1"/>
      <sz val="11"/>
      <scheme val="minor"/>
    </font>
    <font>
      <name val="Arial"/>
      <b val="1"/>
      <sz val="14"/>
    </font>
    <font>
      <name val="Arial"/>
      <i val="1"/>
      <color rgb="00595959"/>
      <sz val="9"/>
    </font>
    <font>
      <name val="Arial"/>
      <b val="1"/>
      <sz val="11"/>
    </font>
    <font>
      <name val="Arial"/>
      <b val="1"/>
      <color rgb="00FFFFFF"/>
      <sz val="11"/>
    </font>
    <font>
      <name val="Arial"/>
      <b val="1"/>
      <color rgb="00000000"/>
      <sz val="10"/>
    </font>
    <font>
      <name val="Arial"/>
      <color rgb="00000000"/>
      <sz val="10"/>
    </font>
    <font>
      <name val="Arial"/>
      <color rgb="000000FF"/>
      <sz val="10"/>
    </font>
    <font>
      <name val="Arial"/>
      <color rgb="00C00000"/>
      <sz val="9"/>
    </font>
    <font>
      <name val="Arial"/>
      <color rgb="00008000"/>
      <sz val="10"/>
    </font>
    <font>
      <name val="Arial"/>
      <b val="1"/>
      <color rgb="00008000"/>
      <sz val="10"/>
    </font>
    <font>
      <name val="Arial"/>
      <sz val="10"/>
    </font>
  </fonts>
  <fills count="6">
    <fill>
      <patternFill/>
    </fill>
    <fill>
      <patternFill patternType="gray125"/>
    </fill>
    <fill>
      <patternFill patternType="solid">
        <fgColor rgb="00D9E1F2"/>
      </patternFill>
    </fill>
    <fill>
      <patternFill patternType="solid">
        <fgColor rgb="001F3864"/>
      </patternFill>
    </fill>
    <fill>
      <patternFill patternType="solid">
        <fgColor rgb="00FFFF00"/>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1"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176" fontId="5" fillId="5" borderId="1" pivotButton="0" quotePrefix="0" xfId="0"/>
    <xf numFmtId="171" fontId="5" fillId="5" borderId="1" pivotButton="0" quotePrefix="0" xfId="0"/>
    <xf numFmtId="164" fontId="5" fillId="0" borderId="1" pivotButton="0" quotePrefix="0" xfId="0"/>
    <xf numFmtId="171" fontId="6" fillId="0" borderId="1" pivotButton="0" quotePrefix="0" xfId="0"/>
    <xf numFmtId="177" fontId="6" fillId="0" borderId="1" pivotButton="0" quotePrefix="0" xfId="0"/>
    <xf numFmtId="173" fontId="6" fillId="0" borderId="1" pivotButton="0" quotePrefix="0" xfId="0"/>
    <xf numFmtId="167" fontId="6" fillId="0" borderId="1" pivotButton="0" quotePrefix="0" xfId="0"/>
    <xf numFmtId="175" fontId="9" fillId="0" borderId="1" pivotButton="0" quotePrefix="0" xfId="0"/>
    <xf numFmtId="164" fontId="9" fillId="0" borderId="1" pivotButton="0" quotePrefix="0" xfId="0"/>
    <xf numFmtId="167" fontId="9" fillId="0" borderId="1" pivotButton="0" quotePrefix="0" xfId="0"/>
    <xf numFmtId="0" fontId="3" fillId="2" borderId="0" pivotButton="0" quotePrefix="0" xfId="0"/>
    <xf numFmtId="0" fontId="0" fillId="2" borderId="0" pivotButton="0" quotePrefix="0" xfId="0"/>
    <xf numFmtId="164" fontId="6" fillId="0" borderId="1" pivotButton="0" quotePrefix="0" xfId="0"/>
    <xf numFmtId="165" fontId="6" fillId="0" borderId="1" pivotButton="0" quotePrefix="0" xfId="0"/>
    <xf numFmtId="166" fontId="6" fillId="0" borderId="1" pivotButton="0" quotePrefix="0" xfId="0"/>
    <xf numFmtId="3" fontId="6" fillId="0" borderId="1" applyAlignment="1" pivotButton="0" quotePrefix="0" xfId="0">
      <alignment horizontal="right"/>
    </xf>
    <xf numFmtId="164" fontId="7" fillId="4" borderId="1" pivotButton="0" quotePrefix="0" xfId="0"/>
    <xf numFmtId="165" fontId="7" fillId="4" borderId="1" pivotButton="0" quotePrefix="0" xfId="0"/>
    <xf numFmtId="166" fontId="7" fillId="4" borderId="1" pivotButton="0" quotePrefix="0" xfId="0"/>
    <xf numFmtId="0" fontId="6" fillId="0" borderId="1" pivotButton="0" quotePrefix="0" xfId="0"/>
    <xf numFmtId="0" fontId="7" fillId="4" borderId="1" pivotButton="0" quotePrefix="0" xfId="0"/>
    <xf numFmtId="167" fontId="7" fillId="4" borderId="1" pivotButton="0" quotePrefix="0" xfId="0"/>
    <xf numFmtId="168" fontId="6" fillId="0" borderId="1" pivotButton="0" quotePrefix="0" xfId="0"/>
    <xf numFmtId="0" fontId="3" fillId="0" borderId="0" pivotButton="0" quotePrefix="0" xfId="0"/>
    <xf numFmtId="169" fontId="7" fillId="4" borderId="1" pivotButton="0" quotePrefix="0" xfId="0"/>
    <xf numFmtId="169" fontId="5" fillId="0" borderId="1" pivotButton="0" quotePrefix="0" xfId="0"/>
    <xf numFmtId="171" fontId="7" fillId="4" borderId="1" pivotButton="0" quotePrefix="0" xfId="0"/>
    <xf numFmtId="3" fontId="7" fillId="4" borderId="1" pivotButton="0" quotePrefix="0" xfId="0"/>
    <xf numFmtId="172" fontId="7" fillId="4" borderId="1" pivotButton="0" quotePrefix="0" xfId="0"/>
    <xf numFmtId="173" fontId="7" fillId="4" borderId="1" pivotButton="0" quotePrefix="0" xfId="0"/>
    <xf numFmtId="0" fontId="8" fillId="0" borderId="0" pivotButton="0" quotePrefix="0" xfId="0"/>
    <xf numFmtId="167" fontId="5" fillId="0" borderId="1" pivotButton="0" quotePrefix="0" xfId="0"/>
    <xf numFmtId="173" fontId="5" fillId="0" borderId="1" pivotButton="0" quotePrefix="0" xfId="0"/>
    <xf numFmtId="174" fontId="5" fillId="0" borderId="1" pivotButton="0" quotePrefix="0" xfId="0"/>
    <xf numFmtId="174" fontId="7" fillId="4" borderId="1" pivotButton="0" quotePrefix="0" xfId="0"/>
    <xf numFmtId="1" fontId="7" fillId="4" borderId="1" pivotButton="0" quotePrefix="0" xfId="0"/>
    <xf numFmtId="174" fontId="6" fillId="0" borderId="1" pivotButton="0" quotePrefix="0" xfId="0"/>
    <xf numFmtId="0" fontId="2" fillId="0" borderId="1" pivotButton="0" quotePrefix="0" xfId="0"/>
    <xf numFmtId="167" fontId="6" fillId="5" borderId="1" pivotButton="0" quotePrefix="0" xfId="0"/>
    <xf numFmtId="172" fontId="6" fillId="0" borderId="1" pivotButton="0" quotePrefix="0" xfId="0"/>
    <xf numFmtId="164" fontId="5" fillId="5" borderId="1" pivotButton="0" quotePrefix="0" xfId="0"/>
    <xf numFmtId="172" fontId="5" fillId="0" borderId="1" pivotButton="0" quotePrefix="0" xfId="0"/>
    <xf numFmtId="0" fontId="5" fillId="5" borderId="1" pivotButton="0" quotePrefix="0" xfId="0"/>
    <xf numFmtId="172" fontId="5" fillId="5" borderId="1" pivotButton="0" quotePrefix="0" xfId="0"/>
    <xf numFmtId="1" fontId="5" fillId="0" borderId="1" pivotButton="0" quotePrefix="0" xfId="0"/>
    <xf numFmtId="171" fontId="5" fillId="0" borderId="1" pivotButton="0" quotePrefix="0" xfId="0"/>
    <xf numFmtId="1" fontId="6" fillId="0" borderId="1" pivotButton="0" quotePrefix="0" xfId="0"/>
    <xf numFmtId="3" fontId="6" fillId="0" borderId="1" pivotButton="0" quotePrefix="0" xfId="0"/>
    <xf numFmtId="1" fontId="2" fillId="0" borderId="1" pivotButton="0" quotePrefix="0" xfId="0"/>
    <xf numFmtId="175" fontId="5" fillId="0" borderId="1" pivotButton="0" quotePrefix="0" xfId="0"/>
    <xf numFmtId="173" fontId="9" fillId="0" borderId="1" pivotButton="0" quotePrefix="0" xfId="0"/>
    <xf numFmtId="3" fontId="9" fillId="0" borderId="1" pivotButton="0" quotePrefix="0" xfId="0"/>
    <xf numFmtId="164" fontId="10" fillId="0" borderId="1" pivotButton="0" quotePrefix="0" xfId="0"/>
  </cellXfs>
  <cellStyles count="1">
    <cellStyle name="Normal" xfId="0" builtinId="0" hidden="0"/>
  </cellStyles>
  <dxfs count="4">
    <dxf>
      <font>
        <name val="Arial"/>
        <color rgb="00C00000"/>
      </font>
    </dxf>
    <dxf>
      <font>
        <name val="Arial"/>
        <color rgb="00C00000"/>
      </font>
      <fill>
        <patternFill patternType="solid">
          <fgColor rgb="00FCE4E4"/>
        </patternFill>
      </fill>
    </dxf>
    <dxf>
      <font>
        <name val="Arial"/>
        <color rgb="00006100"/>
      </font>
      <fill>
        <patternFill patternType="solid">
          <fgColor rgb="00E2EFDA"/>
        </patternFill>
      </fill>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Bénéfice net mensuel et cumulé (₩)</a:t>
            </a:r>
          </a:p>
        </rich>
      </tx>
    </title>
    <plotArea>
      <lineChart>
        <grouping val="standard"/>
        <ser>
          <idx val="0"/>
          <order val="0"/>
          <tx>
            <strRef>
              <f>'Previsions'!A41</f>
            </strRef>
          </tx>
          <spPr>
            <a:ln>
              <a:prstDash val="solid"/>
            </a:ln>
          </spPr>
          <marker>
            <symbol val="none"/>
            <spPr>
              <a:ln>
                <a:prstDash val="solid"/>
              </a:ln>
            </spPr>
          </marker>
          <cat>
            <numRef>
              <f>'Previsions'!$C$4:$BJ$4</f>
            </numRef>
          </cat>
          <val>
            <numRef>
              <f>'Previsions'!$B$41:$BJ$41</f>
            </numRef>
          </val>
        </ser>
        <ser>
          <idx val="1"/>
          <order val="1"/>
          <tx>
            <strRef>
              <f>'Previsions'!A42</f>
            </strRef>
          </tx>
          <spPr>
            <a:ln>
              <a:prstDash val="solid"/>
            </a:ln>
          </spPr>
          <marker>
            <symbol val="none"/>
            <spPr>
              <a:ln>
                <a:prstDash val="solid"/>
              </a:ln>
            </spPr>
          </marker>
          <cat>
            <numRef>
              <f>'Previsions'!$C$4:$BJ$4</f>
            </numRef>
          </cat>
          <val>
            <numRef>
              <f>'Previsions'!$B$42:$BJ$42</f>
            </numRef>
          </val>
        </ser>
        <axId val="10"/>
        <axId val="100"/>
      </lineChart>
      <catAx>
        <axId val="10"/>
        <scaling>
          <orientation val="minMax"/>
        </scaling>
        <axPos val="l"/>
        <title>
          <tx>
            <rich>
              <a:bodyPr/>
              <a:p>
                <a:pPr>
                  <a:defRPr/>
                </a:pPr>
                <a:r>
                  <a:t>Mois n°</a:t>
                </a:r>
              </a:p>
            </rich>
          </tx>
        </title>
        <majorTickMark val="none"/>
        <minorTickMark val="none"/>
        <crossAx val="100"/>
        <lblOffset val="100"/>
      </catAx>
      <valAx>
        <axId val="100"/>
        <scaling>
          <orientation val="minMax"/>
        </scaling>
        <axPos val="l"/>
        <majorGridlines/>
        <title>
          <tx>
            <rich>
              <a:bodyPr/>
              <a:p>
                <a:pPr>
                  <a:defRPr/>
                </a:pPr>
                <a:r>
                  <a:t>₩</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21</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42"/>
  <sheetViews>
    <sheetView showGridLines="0" workbookViewId="0">
      <selection activeCell="A1" sqref="A1"/>
    </sheetView>
  </sheetViews>
  <sheetFormatPr baseColWidth="8" defaultRowHeight="15"/>
  <cols>
    <col width="125" customWidth="1" min="1" max="1"/>
  </cols>
  <sheetData>
    <row r="1">
      <c r="A1" s="1" t="inlineStr">
        <is>
          <t>Scalyo — simulateur de seuil de rentabilité, modèle coréen (version française)</t>
        </is>
      </c>
    </row>
    <row r="2">
      <c r="A2" s="2" t="inlineStr">
        <is>
          <t>Traduction du classeur coréen du 24/09/2026 · montants en wons (KRW) · tarifs issus du code (functions/api/_config/prices.js)</t>
        </is>
      </c>
    </row>
    <row r="3">
      <c r="A3" s="3" t="inlineStr"/>
    </row>
    <row r="4">
      <c r="A4" s="4" t="inlineStr">
        <is>
          <t>Ce que vous obtenez</t>
        </is>
      </c>
    </row>
    <row r="5">
      <c r="A5" s="3" t="inlineStr">
        <is>
          <t>① « Calculateur » : saisissez le nombre moyen de clients et de sièges par client ; vous obtenez le bénéfice net mensuel, le renfort de support nécessaire, le résultat par client Enterprise et le seuil de rentabilité.</t>
        </is>
      </c>
    </row>
    <row r="6">
      <c r="A6" s="3" t="inlineStr">
        <is>
          <t>② « Synthese » : selon les hypothèses, le mois du premier bénéfice net, le seuil cumulé, l'épuisement de la trésorerie et le premier recrutement de support, avec un repère en euros.</t>
        </is>
      </c>
    </row>
    <row r="7">
      <c r="A7" s="3" t="inlineStr">
        <is>
          <t>③ « Previsions » / « Annuel » : compte de résultat mensuel sur 60 mois et synthèse sur 5 exercices (IS coréen, report des déficits).</t>
        </is>
      </c>
    </row>
    <row r="8">
      <c r="A8" s="3" t="inlineStr"/>
    </row>
    <row r="9">
      <c r="A9" s="4" t="inlineStr">
        <is>
          <t>Définition du bénéfice net (selon la demande)</t>
        </is>
      </c>
    </row>
    <row r="10">
      <c r="A10" s="3" t="inlineStr">
        <is>
          <t>CA HT − frais de paiement − coûts variables par siège (IA par offre) − masse salariale (3 salariés) − support supplémentaire − CSM, maintenance et installation Enterprise − loyer − autres charges = résultat avant impôt</t>
        </is>
      </c>
    </row>
    <row r="11">
      <c r="A11" s="3" t="inlineStr">
        <is>
          <t>Résultat avant impôt − IS et taxe locale sur le revenu = résultat après impôt → résultat après impôt − part de l'investisseur (6 %) = bénéfice net</t>
        </is>
      </c>
    </row>
    <row r="12">
      <c r="A12" s="3" t="inlineStr"/>
    </row>
    <row r="13">
      <c r="A13" s="4" t="inlineStr">
        <is>
          <t>Spécificités coréennes (sans équivalent exact en France)</t>
        </is>
      </c>
    </row>
    <row r="14">
      <c r="A14" s="3" t="inlineStr">
        <is>
          <t>• Monnaie : le won (KRW, ₩) n'a pas de centimes. 1 EUR ≈ 1 600 ₩ est une hypothèse à mettre à jour ; « Synthese » donne un repère en euros.</t>
        </is>
      </c>
    </row>
    <row r="15">
      <c r="A15" s="3" t="inlineStr">
        <is>
          <t>• 연봉 (salaire annuel) : rémunération brute annuelle totale, primes et indemnités non imposables comprises (ex. indemnité repas exonérée jusqu'à 200 000 ₩/mois). Pas de 13e mois séparé.</t>
        </is>
      </c>
    </row>
    <row r="16">
      <c r="A16" s="3" t="inlineStr">
        <is>
          <t>• 4대보험 (« les 4 assurances sociales ») : pension nationale 국민연금, assurance maladie 건강보험 (avec l'assurance dépendance 장기요양보험 calculée sur elle), assurance emploi 고용보험, accidents du travail 산재보험. Les charges employeur sont d'environ 10 %, contre 35 à 45 % en France.</t>
        </is>
      </c>
    </row>
    <row r="17">
      <c r="A17" s="3" t="inlineStr">
        <is>
          <t>• Assurance maladie : caisse publique unique (NHIS). Pas de mutuelle d'entreprise obligatoire ni de prévoyance cadre comme en France.</t>
        </is>
      </c>
    </row>
    <row r="18">
      <c r="A18" s="3" t="inlineStr">
        <is>
          <t>• 퇴직금 (indemnité de départ légale) : 30 jours de salaire moyen par année d'ancienneté, due à tout salarié qui part après 1 an, même en cas de démission. En France, l'indemnité n'est due qu'en cas de licenciement ou de rupture conventionnelle. Elle est provisionnée ici à 1/12 du salaire annuel.</t>
        </is>
      </c>
    </row>
    <row r="19">
      <c r="A19" s="3" t="inlineStr">
        <is>
          <t>• Temps de travail : 40 h/semaine légales (52 h au maximum avec les heures supplémentaires), 15 jours de congés annuels après 1 an d'ancienneté.</t>
        </is>
      </c>
    </row>
    <row r="20">
      <c r="A20" s="3" t="inlineStr">
        <is>
          <t>• 법인세 (IS) : barème progressif par tranches (10 % jusqu'à 200 M₩, puis 20 %, 22 % et 25 %), alors que la France applique 15 % puis 25 %.</t>
        </is>
      </c>
    </row>
    <row r="21">
      <c r="A21" s="3" t="inlineStr">
        <is>
          <t>• 지방소득세 (taxe locale sur le revenu) : 10 % du montant de l'IS, en plus de l'IS. Ce n'est ni la CFE ni la CVAE françaises.</t>
        </is>
      </c>
    </row>
    <row r="22">
      <c r="A22" s="3" t="inlineStr">
        <is>
          <t>• 창업중소기업 세액감면 (exonération jeune entreprise) : IS réduit de 50 à 100 % pendant 5 ans selon l'âge du fondateur (moins de 34 ans) et la localisation (hors zone de surdensité de la région de Séoul). Proche dans l'esprit du statut JEI, mais porte sur l'IS et non sur les charges sociales. 0 % par défaut.</t>
        </is>
      </c>
    </row>
    <row r="23">
      <c r="A23" s="3" t="inlineStr">
        <is>
          <t>• 이월결손금 (report des déficits) : reportables 15 ans, imputables à 100 % du bénéfice pour une PME (80 % sinon). France : 1 M€ + 50 % de l'excédent, sans limite de durée.</t>
        </is>
      </c>
    </row>
    <row r="24">
      <c r="A24" s="3" t="inlineStr">
        <is>
          <t>• 부가세 (TVA) : taux unique de 10 % (France : 20 %). Elle n'est ni du CA ni une charge.</t>
        </is>
      </c>
    </row>
    <row r="25">
      <c r="A25" s="3" t="inlineStr">
        <is>
          <t>• 보증금 (dépôt de garantie) : élevé en Corée (souvent 10 mois de loyer ou plus). Il ne réduit que la trésorerie du mois 1, il n'entre pas dans le résultat.</t>
        </is>
      </c>
    </row>
    <row r="26">
      <c r="A26" s="3" t="inlineStr">
        <is>
          <t>• 세무사 / 세무기장 : conseiller fiscal agréé qui tient la comptabilité et les déclarations des PME contre un forfait mensuel (inclus dans « Autres charges fixes »).</t>
        </is>
      </c>
    </row>
    <row r="27">
      <c r="A27" s="3" t="inlineStr"/>
    </row>
    <row r="28">
      <c r="A28" s="4" t="inlineStr">
        <is>
          <t>Ce qui varie selon l'offre</t>
        </is>
      </c>
    </row>
    <row r="29">
      <c r="A29" s="3" t="inlineStr">
        <is>
          <t>• Coût IA : saisi par siège et par offre. Il augmente fortement à partir d'Elite (studio e-mail IA, playbooks automatiques).</t>
        </is>
      </c>
    </row>
    <row r="30">
      <c r="A30" s="3" t="inlineStr">
        <is>
          <t>• Temps de support : e-mails (par siège), appels et réunions (par client), onboarding (une fois par nouveau client), plus élevés pour les offres supérieures. Au-delà de la capacité des 3 salariés, le renfort est ajouté automatiquement aux coûts.</t>
        </is>
      </c>
    </row>
    <row r="31">
      <c r="A31" s="3" t="inlineStr">
        <is>
          <t>• Enterprise : installation sur les serveurs du client (une fois), maintenance mensuelle, 1 ou 2 CSM dédiés par client. Les contrats se saisissent un par un (Hypotheses, section 10).</t>
        </is>
      </c>
    </row>
    <row r="32">
      <c r="A32" s="3" t="inlineStr"/>
    </row>
    <row r="33">
      <c r="A33" s="4" t="inlineStr">
        <is>
          <t>Code couleur</t>
        </is>
      </c>
    </row>
    <row r="34">
      <c r="A34" s="3" t="inlineStr">
        <is>
          <t>Cellule jaune + texte bleu = saisie · texte noir = formule · texte vert = valeur reprise d'un autre onglet · fond vert clair = résultat clé</t>
        </is>
      </c>
    </row>
    <row r="35">
      <c r="A35" s="3" t="inlineStr"/>
    </row>
    <row r="36">
      <c r="A36" s="4" t="inlineStr">
        <is>
          <t>Hypothèses et limites (à vérifier)</t>
        </is>
      </c>
    </row>
    <row r="37">
      <c r="A37" s="3" t="inlineStr">
        <is>
          <t>• Tous les chiffres d'exemple (salaires, loyer, dépôt, IA, temps de support, installation, CSM, frais, change, croissance, trésorerie) sont des hypothèses.</t>
        </is>
      </c>
    </row>
    <row r="38">
      <c r="A38" s="3" t="inlineStr">
        <is>
          <t>• Enterprise n'a pas de prix dans le code (sur devis) : le prix Elite est utilisé provisoirement.</t>
        </is>
      </c>
    </row>
    <row r="39">
      <c r="A39" s="3" t="inlineStr">
        <is>
          <t>• Taux d'IS et de cotisations : estimations 2026, à confirmer avec un 세무사 ou un 노무사 (conseiller en droit du travail).</t>
        </is>
      </c>
    </row>
    <row r="40">
      <c r="A40" s="3" t="inlineStr">
        <is>
          <t>• La part de 6 % n'est déduite que si le résultat après impôt est positif ; c'est juridiquement une distribution, pas une charge.</t>
        </is>
      </c>
    </row>
    <row r="41">
      <c r="A41" s="3" t="inlineStr">
        <is>
          <t>• Le « Calculateur » ignore le report des déficits et les coûts ponctuels (onboarding, installation) ; « Previsions » et « Annuel » les appliquent.</t>
        </is>
      </c>
    </row>
    <row r="42">
      <c r="A42" s="3" t="inlineStr">
        <is>
          <t>• Non pris en compte : essai gratuit de 14 jours, remises annuelles, remboursements, rémunération des fondateurs, amortissements, aides publiques.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48" customWidth="1" min="1" max="1"/>
    <col width="20" customWidth="1" min="2" max="2"/>
    <col width="16" customWidth="1" min="3" max="3"/>
    <col width="66" customWidth="1" min="4" max="4"/>
    <col width="16" customWidth="1" min="5" max="5"/>
    <col width="18" customWidth="1" min="6" max="6"/>
  </cols>
  <sheetData>
    <row r="1">
      <c r="A1" s="5" t="inlineStr">
        <is>
          <t>Synthèse — quand l'entreprise devient-elle bénéficiaire ?</t>
        </is>
      </c>
    </row>
    <row r="2">
      <c r="A2" s="6" t="inlineStr">
        <is>
          <t>Se recalcule automatiquement quand vous modifiez l'onglet « Hypotheses » (notamment les sections 8 à 10).</t>
        </is>
      </c>
    </row>
    <row r="4">
      <c r="A4" s="7" t="inlineStr">
        <is>
          <t>Indicateur</t>
        </is>
      </c>
      <c r="B4" s="7" t="inlineStr">
        <is>
          <t>Mois n°</t>
        </is>
      </c>
      <c r="C4" s="7" t="inlineStr">
        <is>
          <t>Date</t>
        </is>
      </c>
      <c r="D4" s="7" t="inlineStr">
        <is>
          <t>Remarque</t>
        </is>
      </c>
      <c r="E4" s="7" t="inlineStr">
        <is>
          <t>≈ EUR</t>
        </is>
      </c>
    </row>
    <row r="5">
      <c r="A5" s="8" t="inlineStr">
        <is>
          <t>Premier mois de bénéfice net</t>
        </is>
      </c>
      <c r="B5" s="9">
        <f>IF(MIN(Previsions!$C$46:$BJ$46)=9999,"non atteint en 60 mois",MIN(Previsions!$C$46:$BJ$46))</f>
        <v/>
      </c>
      <c r="C5" s="10">
        <f>IF(ISNUMBER(B5),EDATE(Hypotheses!$B$68,B5-1),"—")</f>
        <v/>
      </c>
      <c r="D5" s="6" t="inlineStr">
        <is>
          <t>Premier mois où le bénéfice net (après salaires, loyer, support, CSM, IS et part de 6 %) devient positif</t>
        </is>
      </c>
    </row>
    <row r="6">
      <c r="A6" s="8" t="inlineStr">
        <is>
          <t>Seuil cumulé (pertes initiales remboursées)</t>
        </is>
      </c>
      <c r="B6" s="9">
        <f>IF(MIN(Previsions!$C$47:$BJ$47)=9999,"non atteint en 60 mois",MIN(Previsions!$C$47:$BJ$47))</f>
        <v/>
      </c>
      <c r="C6" s="10">
        <f>IF(ISNUMBER(B6),EDATE(Hypotheses!$B$68,B6-1),"—")</f>
        <v/>
      </c>
      <c r="D6" s="6" t="inlineStr">
        <is>
          <t>Mois où le bénéfice net cumulé redevient ≥ 0 : toutes les pertes passées sont couvertes</t>
        </is>
      </c>
    </row>
    <row r="7">
      <c r="A7" s="8" t="inlineStr">
        <is>
          <t>Épuisement de la trésorerie (&lt; 0)</t>
        </is>
      </c>
      <c r="B7" s="9">
        <f>IF(MIN(Previsions!$C$48:$BJ$48)=9999,"non atteint en 60 mois",MIN(Previsions!$C$48:$BJ$48))</f>
        <v/>
      </c>
      <c r="C7" s="10">
        <f>IF(ISNUMBER(B7),EDATE(Hypotheses!$B$68,B7-1),"—")</f>
        <v/>
      </c>
      <c r="D7" s="6" t="inlineStr">
        <is>
          <t>Limite de la trésorerie de départ (après dépôt de garantie). « non atteint » = pas de manque sur 60 mois</t>
        </is>
      </c>
    </row>
    <row r="8">
      <c r="A8" s="8" t="inlineStr">
        <is>
          <t>Premier besoin de support supplémentaire</t>
        </is>
      </c>
      <c r="B8" s="9">
        <f>IF(MIN(Previsions!$C$49:$BJ$49)=9999,"non atteint en 60 mois",MIN(Previsions!$C$49:$BJ$49))</f>
        <v/>
      </c>
      <c r="C8" s="10">
        <f>IF(ISNUMBER(B8),EDATE(Hypotheses!$B$68,B8-1),"—")</f>
        <v/>
      </c>
      <c r="D8" s="6" t="inlineStr">
        <is>
          <t>Premier mois où le temps de support dépasse la capacité des 3 salariés</t>
        </is>
      </c>
    </row>
    <row r="9">
      <c r="A9" s="8" t="inlineStr">
        <is>
          <t>Trésorerie la plus basse</t>
        </is>
      </c>
      <c r="B9" s="11">
        <f>MIN(Previsions!$C$44:$BJ$44)</f>
        <v/>
      </c>
      <c r="C9" s="12">
        <f>INDEX(Previsions!$C$5:$BJ$5,MATCH(B9,Previsions!$C$44:$BJ$44,0))</f>
        <v/>
      </c>
      <c r="D9" s="6" t="inlineStr">
        <is>
          <t>Besoin de financement minimal = trésorerie de départ − trésorerie la plus basse (dépôt compris)</t>
        </is>
      </c>
      <c r="E9" s="13">
        <f>B9/Hypotheses!$B$13</f>
        <v/>
      </c>
    </row>
    <row r="10">
      <c r="A10" s="8" t="inlineStr">
        <is>
          <t>Besoin de financement minimal</t>
        </is>
      </c>
      <c r="B10" s="11">
        <f>MAX(0,Hypotheses!$B$73-B9)</f>
        <v/>
      </c>
      <c r="E10" s="13">
        <f>B10/Hypotheses!$B$13</f>
        <v/>
      </c>
    </row>
    <row r="11">
      <c r="A11" s="8" t="inlineStr">
        <is>
          <t>Clients / sièges au premier mois bénéficiaire</t>
        </is>
      </c>
      <c r="B11" s="14">
        <f>IF(ISNUMBER(B5),INDEX(Previsions!$C$10:$BJ$10,B5)+INDEX(Previsions!$C$11:$BJ$11,B5),"—")</f>
        <v/>
      </c>
      <c r="C11" s="14">
        <f>IF(ISNUMBER(B5),INDEX(Previsions!$C$17:$BJ$17,B5),"—")</f>
        <v/>
      </c>
      <c r="D11" s="6" t="inlineStr">
        <is>
          <t>Clients (B, Enterprise compris) et sièges (C)</t>
        </is>
      </c>
    </row>
    <row r="12">
      <c r="A12" s="8" t="inlineStr">
        <is>
          <t>Taux d'occupation maximal du support</t>
        </is>
      </c>
      <c r="B12" s="15">
        <f>MAX(Previsions!$C$21:$BJ$21)</f>
        <v/>
      </c>
      <c r="D12" s="6" t="inlineStr">
        <is>
          <t>Au-dessus de 100 %, du renfort a été nécessaire</t>
        </is>
      </c>
    </row>
    <row r="13">
      <c r="A13" s="6" t="inlineStr">
        <is>
          <t>Montants en wons (KRW). Colonnes ≈ EUR : conversion indicative au taux saisi dans « Hypotheses », section 2.</t>
        </is>
      </c>
    </row>
    <row r="14">
      <c r="A14" s="7" t="inlineStr">
        <is>
          <t>Exercice</t>
        </is>
      </c>
      <c r="B14" s="7" t="inlineStr">
        <is>
          <t>Chiffre d'affaires (₩)</t>
        </is>
      </c>
      <c r="C14" s="7" t="inlineStr">
        <is>
          <t>Bénéfice net (₩)</t>
        </is>
      </c>
      <c r="D14" s="7" t="inlineStr">
        <is>
          <t>Marge nette</t>
        </is>
      </c>
      <c r="E14" s="7" t="inlineStr">
        <is>
          <t>CA ≈ EUR</t>
        </is>
      </c>
      <c r="F14" s="7" t="inlineStr">
        <is>
          <t>Bénéfice net ≈ EUR</t>
        </is>
      </c>
    </row>
    <row r="15">
      <c r="A15" s="16">
        <f>Annuel!B4</f>
        <v/>
      </c>
      <c r="B15" s="17">
        <f>Annuel!B11</f>
        <v/>
      </c>
      <c r="C15" s="17">
        <f>Annuel!B22</f>
        <v/>
      </c>
      <c r="D15" s="18">
        <f>Annuel!B23</f>
        <v/>
      </c>
      <c r="E15" s="13">
        <f>B15/Hypotheses!$B$13</f>
        <v/>
      </c>
      <c r="F15" s="13">
        <f>C15/Hypotheses!$B$13</f>
        <v/>
      </c>
    </row>
    <row r="16">
      <c r="A16" s="16">
        <f>Annuel!C4</f>
        <v/>
      </c>
      <c r="B16" s="17">
        <f>Annuel!C11</f>
        <v/>
      </c>
      <c r="C16" s="17">
        <f>Annuel!C22</f>
        <v/>
      </c>
      <c r="D16" s="18">
        <f>Annuel!C23</f>
        <v/>
      </c>
      <c r="E16" s="13">
        <f>B16/Hypotheses!$B$13</f>
        <v/>
      </c>
      <c r="F16" s="13">
        <f>C16/Hypotheses!$B$13</f>
        <v/>
      </c>
    </row>
    <row r="17">
      <c r="A17" s="16">
        <f>Annuel!D4</f>
        <v/>
      </c>
      <c r="B17" s="17">
        <f>Annuel!D11</f>
        <v/>
      </c>
      <c r="C17" s="17">
        <f>Annuel!D22</f>
        <v/>
      </c>
      <c r="D17" s="18">
        <f>Annuel!D23</f>
        <v/>
      </c>
      <c r="E17" s="13">
        <f>B17/Hypotheses!$B$13</f>
        <v/>
      </c>
      <c r="F17" s="13">
        <f>C17/Hypotheses!$B$13</f>
        <v/>
      </c>
    </row>
    <row r="18">
      <c r="A18" s="16">
        <f>Annuel!E4</f>
        <v/>
      </c>
      <c r="B18" s="17">
        <f>Annuel!E11</f>
        <v/>
      </c>
      <c r="C18" s="17">
        <f>Annuel!E22</f>
        <v/>
      </c>
      <c r="D18" s="18">
        <f>Annuel!E23</f>
        <v/>
      </c>
      <c r="E18" s="13">
        <f>B18/Hypotheses!$B$13</f>
        <v/>
      </c>
      <c r="F18" s="13">
        <f>C18/Hypotheses!$B$13</f>
        <v/>
      </c>
    </row>
    <row r="19">
      <c r="A19" s="16">
        <f>Annuel!F4</f>
        <v/>
      </c>
      <c r="B19" s="17">
        <f>Annuel!F11</f>
        <v/>
      </c>
      <c r="C19" s="17">
        <f>Annuel!F22</f>
        <v/>
      </c>
      <c r="D19" s="18">
        <f>Annuel!F23</f>
        <v/>
      </c>
      <c r="E19" s="13">
        <f>B19/Hypotheses!$B$13</f>
        <v/>
      </c>
      <c r="F19" s="13">
        <f>C19/Hypotheses!$B$13</f>
        <v/>
      </c>
    </row>
  </sheetData>
  <conditionalFormatting sqref="C15:C19">
    <cfRule type="cellIs" priority="1" operator="lessThan" dxfId="0">
      <formula>0</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4" customWidth="1" min="3" max="3"/>
    <col width="14" customWidth="1" min="4" max="4"/>
    <col width="14" customWidth="1" min="5" max="5"/>
    <col width="18" customWidth="1" min="6" max="6"/>
    <col width="72" customWidth="1" min="7" max="7"/>
  </cols>
  <sheetData>
    <row r="1">
      <c r="A1" s="5" t="inlineStr">
        <is>
          <t>Hypothèses — ne modifiez que les cellules jaunes (texte bleu)</t>
        </is>
      </c>
    </row>
    <row r="2">
      <c r="A2" s="6" t="inlineStr">
        <is>
          <t>Modèle COREEN traduit en français : montants en wons coréens (KRW, ₩) hors TVA, droit du travail et fiscalité de la Corée du Sud. Les valeurs d'exemple sont des hypothèses. Les notes « Corée » expliquent les dispositifs sans équivalent en France.</t>
        </is>
      </c>
    </row>
    <row r="4">
      <c r="A4" s="19" t="inlineStr">
        <is>
          <t>1. Grille tarifaire Scalyo (par siège et par mois, HT) — source : app-v2/frontend/functions/api/_config/prices.js, src/config/plans.config.js</t>
        </is>
      </c>
      <c r="B4" s="20" t="n"/>
      <c r="C4" s="20" t="n"/>
      <c r="D4" s="20" t="n"/>
      <c r="E4" s="20" t="n"/>
      <c r="F4" s="20" t="n"/>
      <c r="G4" s="20" t="n"/>
    </row>
    <row r="5">
      <c r="A5" s="7" t="inlineStr">
        <is>
          <t>Offre</t>
        </is>
      </c>
      <c r="B5" s="7" t="inlineStr">
        <is>
          <t>KRW / siège</t>
        </is>
      </c>
      <c r="C5" s="7" t="inlineStr">
        <is>
          <t>EUR / siège</t>
        </is>
      </c>
      <c r="D5" s="7" t="inlineStr">
        <is>
          <t>USD / siège</t>
        </is>
      </c>
      <c r="E5" s="7" t="inlineStr">
        <is>
          <t>Sièges max.</t>
        </is>
      </c>
      <c r="F5" s="7" t="inlineStr">
        <is>
          <t>Prix retenu (₩/siège)</t>
        </is>
      </c>
      <c r="G5" s="7" t="inlineStr">
        <is>
          <t>Remarque</t>
        </is>
      </c>
    </row>
    <row r="6">
      <c r="A6" s="8" t="inlineStr">
        <is>
          <t>Starter</t>
        </is>
      </c>
      <c r="B6" s="21" t="n">
        <v>139000</v>
      </c>
      <c r="C6" s="22" t="n">
        <v>79</v>
      </c>
      <c r="D6" s="23" t="n">
        <v>89</v>
      </c>
      <c r="E6" s="24" t="n">
        <v>3</v>
      </c>
      <c r="F6" s="21">
        <f>IF(Hypotheses!$B$12="EUR",C6*Hypotheses!$B$13,IF(Hypotheses!$B$12="USD",D6*Hypotheses!$B$14,B6))</f>
        <v/>
      </c>
      <c r="G6" s="6" t="inlineStr">
        <is>
          <t>Prix du code. 50 comptes clients max., 3 sièges</t>
        </is>
      </c>
    </row>
    <row r="7">
      <c r="A7" s="8" t="inlineStr">
        <is>
          <t>Growth</t>
        </is>
      </c>
      <c r="B7" s="21" t="n">
        <v>209000</v>
      </c>
      <c r="C7" s="22" t="n">
        <v>119</v>
      </c>
      <c r="D7" s="23" t="n">
        <v>139</v>
      </c>
      <c r="E7" s="24" t="n">
        <v>7</v>
      </c>
      <c r="F7" s="21">
        <f>IF(Hypotheses!$B$12="EUR",C7*Hypotheses!$B$13,IF(Hypotheses!$B$12="USD",D7*Hypotheses!$B$14,B7))</f>
        <v/>
      </c>
      <c r="G7" s="6" t="inlineStr">
        <is>
          <t>Prix du code. Comptes clients illimités, 7 sièges</t>
        </is>
      </c>
    </row>
    <row r="8">
      <c r="A8" s="8" t="inlineStr">
        <is>
          <t>Elite</t>
        </is>
      </c>
      <c r="B8" s="21" t="n">
        <v>279000</v>
      </c>
      <c r="C8" s="22" t="n">
        <v>159</v>
      </c>
      <c r="D8" s="23" t="n">
        <v>189</v>
      </c>
      <c r="E8" s="24" t="n">
        <v>24</v>
      </c>
      <c r="F8" s="21">
        <f>IF(Hypotheses!$B$12="EUR",C8*Hypotheses!$B$13,IF(Hypotheses!$B$12="USD",D8*Hypotheses!$B$14,B8))</f>
        <v/>
      </c>
      <c r="G8" s="6" t="inlineStr">
        <is>
          <t>Prix du code. Comptes clients illimités, 24 sièges</t>
        </is>
      </c>
    </row>
    <row r="9">
      <c r="A9" s="8" t="inlineStr">
        <is>
          <t>Enterprise</t>
        </is>
      </c>
      <c r="B9" s="25" t="n">
        <v>279000</v>
      </c>
      <c r="C9" s="26" t="n">
        <v>159</v>
      </c>
      <c r="D9" s="27" t="n">
        <v>189</v>
      </c>
      <c r="E9" s="24" t="inlineStr">
        <is>
          <t>illimité</t>
        </is>
      </c>
      <c r="F9" s="21">
        <f>IF(Hypotheses!$B$12="EUR",C9*Hypotheses!$B$13,IF(Hypotheses!$B$12="USD",D9*Hypotheses!$B$14,B9))</f>
        <v/>
      </c>
      <c r="G9" s="6" t="inlineStr">
        <is>
          <t>Aucun prix dans le code (sur devis). Prix Elite par défaut — à remplacer par le tarif négocié</t>
        </is>
      </c>
    </row>
    <row r="11">
      <c r="A11" s="19" t="inlineStr">
        <is>
          <t>2. Conditions de chiffre d'affaires</t>
        </is>
      </c>
      <c r="B11" s="20" t="n"/>
      <c r="C11" s="20" t="n"/>
      <c r="D11" s="20" t="n"/>
      <c r="E11" s="20" t="n"/>
      <c r="F11" s="20" t="n"/>
      <c r="G11" s="20" t="n"/>
    </row>
    <row r="12">
      <c r="A12" s="28" t="inlineStr">
        <is>
          <t>Devise de facturation</t>
        </is>
      </c>
      <c r="B12" s="29" t="inlineStr">
        <is>
          <t>KRW</t>
        </is>
      </c>
      <c r="G12" s="6" t="inlineStr">
        <is>
          <t>KRW / EUR / USD. Un client facturé en EUR ou USD est converti en wons au taux ci-dessous</t>
        </is>
      </c>
    </row>
    <row r="13">
      <c r="A13" s="28" t="inlineStr">
        <is>
          <t>Taux : 1 EUR = ? ₩</t>
        </is>
      </c>
      <c r="B13" s="25" t="n">
        <v>1600</v>
      </c>
      <c r="G13" s="6" t="inlineStr">
        <is>
          <t>Hypothèse — à mettre à jour. Sert aussi aux repères ≈ EUR de « Synthese »</t>
        </is>
      </c>
    </row>
    <row r="14">
      <c r="A14" s="28" t="inlineStr">
        <is>
          <t>Taux : 1 USD = ? ₩</t>
        </is>
      </c>
      <c r="B14" s="25" t="n">
        <v>1400</v>
      </c>
      <c r="G14" s="6" t="inlineStr">
        <is>
          <t>Hypothèse — à mettre à jour</t>
        </is>
      </c>
    </row>
    <row r="15">
      <c r="A15" s="28" t="inlineStr">
        <is>
          <t>Prix affichés TTC ?</t>
        </is>
      </c>
      <c r="B15" s="29" t="inlineStr">
        <is>
          <t>HT</t>
        </is>
      </c>
      <c r="G15" s="6" t="inlineStr">
        <is>
          <t>« HT » : le prix affiché est le CA (usage B2B, 부가세 별도). « TTC » : CA = prix ÷ (1 + TVA)</t>
        </is>
      </c>
    </row>
    <row r="16">
      <c r="A16" s="28" t="inlineStr">
        <is>
          <t>Taux de TVA — 부가세</t>
        </is>
      </c>
      <c r="B16" s="30" t="n">
        <v>0.1</v>
      </c>
      <c r="G16" s="6" t="inlineStr">
        <is>
          <t>Corée : taux unique de 10 % (France : 20 %). Collectée pour l'État, ce n'est pas du CA</t>
        </is>
      </c>
    </row>
    <row r="17">
      <c r="A17" s="28" t="inlineStr">
        <is>
          <t>Frais de paiement (Stripe, etc.)</t>
        </is>
      </c>
      <c r="B17" s="30" t="n">
        <v>0.035</v>
      </c>
      <c r="G17" s="6" t="inlineStr">
        <is>
          <t>Hypothèse — cartes étrangères et frais de change compris. À ajuster sur les relevés réels</t>
        </is>
      </c>
    </row>
    <row r="18">
      <c r="A18" s="28" t="inlineStr">
        <is>
          <t>Part du prix reconnue en CA (TVA)</t>
        </is>
      </c>
      <c r="B18" s="31">
        <f>IF(Hypotheses!$B$15="TTC",1/(1+Hypotheses!$B$16),1)</f>
        <v/>
      </c>
      <c r="G18" s="6" t="inlineStr">
        <is>
          <t>Calcul : part du prix affiché qui constitue du chiffre d'affaires</t>
        </is>
      </c>
    </row>
    <row r="20">
      <c r="A20" s="19" t="inlineStr">
        <is>
          <t>3. Coûts variables — par siège et par mois (plus l'offre est élevée, plus l'IA est sollicitée)</t>
        </is>
      </c>
      <c r="B20" s="20" t="n"/>
      <c r="C20" s="20" t="n"/>
      <c r="D20" s="20" t="n"/>
      <c r="E20" s="20" t="n"/>
      <c r="F20" s="20" t="n"/>
      <c r="G20" s="20" t="n"/>
    </row>
    <row r="21">
      <c r="A21" s="7" t="inlineStr">
        <is>
          <t>Poste</t>
        </is>
      </c>
      <c r="B21" s="7" t="inlineStr">
        <is>
          <t>Starter</t>
        </is>
      </c>
      <c r="C21" s="7" t="inlineStr">
        <is>
          <t>Growth</t>
        </is>
      </c>
      <c r="D21" s="7" t="inlineStr">
        <is>
          <t>Elite</t>
        </is>
      </c>
      <c r="E21" s="7" t="inlineStr">
        <is>
          <t>Enterprise</t>
        </is>
      </c>
      <c r="F21" s="7" t="inlineStr"/>
      <c r="G21" s="7" t="inlineStr">
        <is>
          <t>Remarque</t>
        </is>
      </c>
    </row>
    <row r="22">
      <c r="A22" s="28" t="inlineStr">
        <is>
          <t>Coût IA (Mistral, etc., par siège / mois)</t>
        </is>
      </c>
      <c r="B22" s="25" t="n">
        <v>3000</v>
      </c>
      <c r="C22" s="25" t="n">
        <v>6000</v>
      </c>
      <c r="D22" s="25" t="n">
        <v>15000</v>
      </c>
      <c r="E22" s="25" t="n">
        <v>20000</v>
      </c>
      <c r="G22" s="6" t="inlineStr">
        <is>
          <t>Hypothèse — à partir d'Elite, le studio e-mail IA et les playbooks automatiques multiplient les appels IA. À ajuster sur les factures</t>
        </is>
      </c>
    </row>
    <row r="23">
      <c r="A23" s="28" t="inlineStr">
        <is>
          <t>Autres coûts variables (base de données, e-mail, stockage, par siège / mois)</t>
        </is>
      </c>
      <c r="B23" s="25" t="n">
        <v>2000</v>
      </c>
      <c r="C23" s="25" t="n">
        <v>2000</v>
      </c>
      <c r="D23" s="25" t="n">
        <v>2000</v>
      </c>
      <c r="E23" s="25" t="n">
        <v>2000</v>
      </c>
      <c r="G23" s="6" t="inlineStr">
        <is>
          <t>Hypothèse — factures Supabase, Resend et stockage divisées par le nombre de sièges</t>
        </is>
      </c>
    </row>
    <row r="24">
      <c r="A24" s="8" t="inlineStr">
        <is>
          <t>→ Coût variable total par siège / mois</t>
        </is>
      </c>
      <c r="B24" s="11">
        <f>B22+B23</f>
        <v/>
      </c>
      <c r="C24" s="11">
        <f>C22+C23</f>
        <v/>
      </c>
      <c r="D24" s="11">
        <f>D22+D23</f>
        <v/>
      </c>
      <c r="E24" s="11">
        <f>E22+E23</f>
        <v/>
      </c>
    </row>
    <row r="26">
      <c r="A26" s="19" t="inlineStr">
        <is>
          <t>4. Charges fixes mensuelles (hors masse salariale)</t>
        </is>
      </c>
      <c r="B26" s="20" t="n"/>
      <c r="C26" s="20" t="n"/>
      <c r="D26" s="20" t="n"/>
      <c r="E26" s="20" t="n"/>
      <c r="F26" s="20" t="n"/>
      <c r="G26" s="20" t="n"/>
    </row>
    <row r="27">
      <c r="A27" s="28" t="inlineStr">
        <is>
          <t>Loyer mensuel — 월세 (charges de gestion 관리비 comprises)</t>
        </is>
      </c>
      <c r="B27" s="25" t="n">
        <v>1500000</v>
      </c>
      <c r="G27" s="6" t="inlineStr">
        <is>
          <t>Hypothèse — Corée : le loyer mensuel (월세) s'accompagne presque toujours d'un dépôt de garantie élevé (voir 4-1) et de charges de gestion de l'immeuble (관리비)</t>
        </is>
      </c>
    </row>
    <row r="28">
      <c r="A28" s="28" t="inlineStr">
        <is>
          <t>Infrastructure et outils SaaS (part fixe)</t>
        </is>
      </c>
      <c r="B28" s="25" t="n">
        <v>500000</v>
      </c>
      <c r="G28" s="6" t="inlineStr">
        <is>
          <t>Hypothèse — Cloudflare, abonnements Supabase, domaines, outils collaboratifs</t>
        </is>
      </c>
    </row>
    <row r="29">
      <c r="A29" s="28" t="inlineStr">
        <is>
          <t>Marketing et prospection</t>
        </is>
      </c>
      <c r="B29" s="25" t="n">
        <v>2000000</v>
      </c>
      <c r="G29" s="6" t="inlineStr">
        <is>
          <t>Hypothèse</t>
        </is>
      </c>
    </row>
    <row r="30">
      <c r="A30" s="28" t="inlineStr">
        <is>
          <t>Autres (tenue comptable 세무기장, assurances, télécoms)</t>
        </is>
      </c>
      <c r="B30" s="25" t="n">
        <v>700000</v>
      </c>
      <c r="G30" s="6" t="inlineStr">
        <is>
          <t>Hypothèse — Corée : la comptabilité des PME est le plus souvent confiée à un 세무사 (conseiller fiscal agréé, rôle proche de l'expert-comptable français), pour un forfait mensuel</t>
        </is>
      </c>
    </row>
    <row r="31">
      <c r="A31" s="8" t="inlineStr">
        <is>
          <t>Total charges fixes hors salaires (mois)</t>
        </is>
      </c>
      <c r="B31" s="11">
        <f>SUM(B27:B30)</f>
        <v/>
      </c>
    </row>
    <row r="33">
      <c r="A33" s="19" t="inlineStr">
        <is>
          <t>4-1. Coûts de démarrage (une fois)</t>
        </is>
      </c>
      <c r="B33" s="20" t="n"/>
      <c r="C33" s="20" t="n"/>
      <c r="D33" s="20" t="n"/>
      <c r="E33" s="20" t="n"/>
      <c r="F33" s="20" t="n"/>
      <c r="G33" s="20" t="n"/>
    </row>
    <row r="34">
      <c r="A34" s="28" t="inlineStr">
        <is>
          <t>Dépôt de garantie du bail — 보증금</t>
        </is>
      </c>
      <c r="B34" s="25" t="n">
        <v>15000000</v>
      </c>
      <c r="G34" s="6" t="inlineStr">
        <is>
          <t>Sort de la trésorerie au mois 1 uniquement ; restituable, donc pas une charge (supposé non restitué sur 60 mois). Corée : souvent 10 mois de loyer ou plus, contre 3 mois habituellement en France</t>
        </is>
      </c>
    </row>
    <row r="35">
      <c r="A35" s="28" t="inlineStr">
        <is>
          <t>Autres coûts de démarrage (mobilier, PC, frais de constitution)</t>
        </is>
      </c>
      <c r="B35" s="25" t="n">
        <v>0</v>
      </c>
      <c r="G35" s="6" t="inlineStr">
        <is>
          <t>Passés en charge au mois 1 (pas d'amortissement). 0 si aucun</t>
        </is>
      </c>
    </row>
    <row r="37">
      <c r="A37" s="19" t="inlineStr">
        <is>
          <t>5. Masse salariale — 3 salariés (droit du travail et cotisations coréens)</t>
        </is>
      </c>
      <c r="B37" s="20" t="n"/>
      <c r="C37" s="20" t="n"/>
      <c r="D37" s="20" t="n"/>
      <c r="E37" s="20" t="n"/>
      <c r="F37" s="20" t="n"/>
      <c r="G37" s="20" t="n"/>
    </row>
    <row r="38">
      <c r="A38" s="7" t="inlineStr">
        <is>
          <t>Salarié</t>
        </is>
      </c>
      <c r="B38" s="7" t="inlineStr">
        <is>
          <t>Salaire annuel — 연봉 (₩)</t>
        </is>
      </c>
      <c r="C38" s="7" t="inlineStr"/>
      <c r="D38" s="7" t="inlineStr"/>
      <c r="E38" s="7" t="inlineStr"/>
      <c r="F38" s="7" t="inlineStr"/>
      <c r="G38" s="7" t="inlineStr">
        <is>
          <t>Remarque</t>
        </is>
      </c>
    </row>
    <row r="39">
      <c r="A39" s="28" t="inlineStr">
        <is>
          <t>Salarié 1</t>
        </is>
      </c>
      <c r="B39" s="25" t="n">
        <v>50000000</v>
      </c>
      <c r="G39" s="6" t="inlineStr">
        <is>
          <t>Hypothèse — Corée : le 연봉 est la rémunération brute annuelle totale, primes et indemnités non imposables comprises (ex. indemnité repas exonérée jusqu'à 200 000 ₩/mois)</t>
        </is>
      </c>
    </row>
    <row r="40">
      <c r="A40" s="28" t="inlineStr">
        <is>
          <t>Salarié 2</t>
        </is>
      </c>
      <c r="B40" s="25" t="n">
        <v>50000000</v>
      </c>
      <c r="G40" s="6" t="inlineStr">
        <is>
          <t>Hypothèse — Corée : le 연봉 est la rémunération brute annuelle totale, primes et indemnités non imposables comprises (ex. indemnité repas exonérée jusqu'à 200 000 ₩/mois)</t>
        </is>
      </c>
    </row>
    <row r="41">
      <c r="A41" s="28" t="inlineStr">
        <is>
          <t>Salarié 3</t>
        </is>
      </c>
      <c r="B41" s="25" t="n">
        <v>50000000</v>
      </c>
      <c r="G41" s="6" t="inlineStr">
        <is>
          <t>Hypothèse — Corée : le 연봉 est la rémunération brute annuelle totale, primes et indemnités non imposables comprises (ex. indemnité repas exonérée jusqu'à 200 000 ₩/mois)</t>
        </is>
      </c>
    </row>
    <row r="42">
      <c r="A42" s="8" t="inlineStr">
        <is>
          <t>Total des salaires annuels</t>
        </is>
      </c>
      <c r="B42" s="11">
        <f>SUM(B39:B41)</f>
        <v/>
      </c>
    </row>
    <row r="43">
      <c r="A43" s="32" t="inlineStr">
        <is>
          <t>Charges employeur — les « 4 assurances sociales » coréennes (4대보험) et l'indemnité de départ. Taux 2026 estimés, à vérifier</t>
        </is>
      </c>
    </row>
    <row r="44">
      <c r="A44" s="28" t="inlineStr">
        <is>
          <t>Pension nationale — 국민연금 (part employeur)</t>
        </is>
      </c>
      <c r="B44" s="33" t="n">
        <v>0.0475</v>
      </c>
      <c r="G44" s="6" t="inlineStr">
        <is>
          <t>Corée : régime public unique de retraite (base et complémentaire réunies). Taux total 9,5 % en 2026, partagé 50/50 ; assiette plafonnée (≈ 6,37 M₩/mois) — à vérifier</t>
        </is>
      </c>
    </row>
    <row r="45">
      <c r="A45" s="28" t="inlineStr">
        <is>
          <t>Assurance maladie — 건강보험 (part employeur)</t>
        </is>
      </c>
      <c r="B45" s="33" t="n">
        <v>0.03595</v>
      </c>
      <c r="G45" s="6" t="inlineStr">
        <is>
          <t>Corée : caisse publique unique (NHIS), pas de mutuelle d'entreprise obligatoire. Taux 2026 : 7,19 % partagé 50/50 — à vérifier</t>
        </is>
      </c>
    </row>
    <row r="46">
      <c r="A46" s="28" t="inlineStr">
        <is>
          <t>Assurance dépendance — 장기요양보험 (en % de la cotisation maladie)</t>
        </is>
      </c>
      <c r="B46" s="33" t="n">
        <v>0.1314</v>
      </c>
      <c r="G46" s="6" t="inlineStr">
        <is>
          <t>Corée : calculée sur la cotisation maladie, pas sur le salaire ; finance la prise en charge des personnes âgées dépendantes. Estimation 2026</t>
        </is>
      </c>
    </row>
    <row r="47">
      <c r="A47" s="28" t="inlineStr">
        <is>
          <t>Assurance emploi — 고용보험 (part employeur)</t>
        </is>
      </c>
      <c r="B47" s="33" t="n">
        <v>0.0115</v>
      </c>
      <c r="G47" s="6" t="inlineStr">
        <is>
          <t>Chômage 0,9 % + stabilisation de l'emploi et formation 0,25 % (entreprises de moins de 150 salariés)</t>
        </is>
      </c>
    </row>
    <row r="48">
      <c r="A48" s="28" t="inlineStr">
        <is>
          <t>Accidents du travail — 산재보험 (100 % employeur)</t>
        </is>
      </c>
      <c r="B48" s="33" t="n">
        <v>0.007</v>
      </c>
      <c r="G48" s="6" t="inlineStr">
        <is>
          <t>Taux fixé par secteur ; ≈ 0,7 % pour le développement logiciel (estimation)</t>
        </is>
      </c>
    </row>
    <row r="49">
      <c r="A49" s="28" t="inlineStr">
        <is>
          <t>Indemnité de départ légale — 퇴직금 (provision)</t>
        </is>
      </c>
      <c r="B49" s="33" t="n">
        <v>0.08333333333333333</v>
      </c>
      <c r="G49" s="6" t="inlineStr">
        <is>
          <t>Corée : 30 jours de salaire par année d'ancienneté, due à tout départ après 1 an, même en cas de démission (France : due seulement en cas de licenciement ou de rupture conventionnelle). Provision de 1/12 du salaire annuel</t>
        </is>
      </c>
    </row>
    <row r="50">
      <c r="A50" s="28" t="inlineStr">
        <is>
          <t>Augmentation annuelle des salaires</t>
        </is>
      </c>
      <c r="B50" s="30" t="n">
        <v>0.03</v>
      </c>
      <c r="G50" s="6" t="inlineStr">
        <is>
          <t>Hypothèse — appliquée tous les 12 mois (support et CSM compris)</t>
        </is>
      </c>
    </row>
    <row r="51">
      <c r="A51" s="8" t="inlineStr">
        <is>
          <t>Taux total de charges employeur (indemnité de départ comprise)</t>
        </is>
      </c>
      <c r="B51" s="34">
        <f>Hypotheses!$B$44+Hypotheses!$B$45*(1+Hypotheses!$B$46)+Hypotheses!$B$47+Hypotheses!$B$48+Hypotheses!$B$49</f>
        <v/>
      </c>
      <c r="G51" s="6" t="inlineStr">
        <is>
          <t>À titre de comparaison, les charges patronales françaises représentent environ 35 à 45 % du brut</t>
        </is>
      </c>
    </row>
    <row r="52">
      <c r="A52" s="8" t="inlineStr">
        <is>
          <t>Masse salariale mensuelle (année 1, charges comprises)</t>
        </is>
      </c>
      <c r="B52" s="11">
        <f>Hypotheses!$B$42*(1+Hypotheses!$B$51)/12</f>
        <v/>
      </c>
      <c r="G52" s="6" t="inlineStr">
        <is>
          <t>Total des salaires annuels × (1 + charges employeur) ÷ 12</t>
        </is>
      </c>
    </row>
    <row r="54">
      <c r="A54" s="19" t="inlineStr">
        <is>
          <t>6. Fiscalité coréenne — impôt sur les sociétés (법인세) + taxe locale sur le revenu (지방소득세)</t>
        </is>
      </c>
      <c r="B54" s="20" t="n"/>
      <c r="C54" s="20" t="n"/>
      <c r="D54" s="20" t="n"/>
      <c r="E54" s="20" t="n"/>
      <c r="F54" s="20" t="n"/>
      <c r="G54" s="20" t="n"/>
    </row>
    <row r="55">
      <c r="A55" s="7" t="inlineStr">
        <is>
          <t>Plafond de la tranche (₩)</t>
        </is>
      </c>
      <c r="B55" s="7" t="inlineStr">
        <is>
          <t>Taux</t>
        </is>
      </c>
      <c r="C55" s="7" t="inlineStr"/>
      <c r="D55" s="7" t="inlineStr"/>
      <c r="E55" s="7" t="inlineStr"/>
      <c r="F55" s="7" t="inlineStr"/>
      <c r="G55" s="7" t="inlineStr">
        <is>
          <t>Remarque</t>
        </is>
      </c>
    </row>
    <row r="56">
      <c r="A56" s="25" t="n">
        <v>200000000</v>
      </c>
      <c r="B56" s="30" t="n">
        <v>0.1</v>
      </c>
      <c r="G56" s="6" t="inlineStr">
        <is>
          <t>Corée : barème progressif par tranches (France : 15 % jusqu'à 42 500 €, puis 25 %). 200 M₩ ≈ 125 k€</t>
        </is>
      </c>
    </row>
    <row r="57">
      <c r="A57" s="25" t="n">
        <v>20000000000</v>
      </c>
      <c r="B57" s="30" t="n">
        <v>0.2</v>
      </c>
      <c r="G57" s="6" t="inlineStr">
        <is>
          <t>Taux 2026 (10 / 20 / 22 / 25 %) — à confirmer avec un 세무사 (conseiller fiscal agréé)</t>
        </is>
      </c>
    </row>
    <row r="58">
      <c r="A58" s="25" t="n">
        <v>300000000000</v>
      </c>
      <c r="B58" s="30" t="n">
        <v>0.22</v>
      </c>
    </row>
    <row r="59">
      <c r="A59" s="28" t="inlineStr">
        <is>
          <t>Au-delà</t>
        </is>
      </c>
      <c r="B59" s="30" t="n">
        <v>0.25</v>
      </c>
    </row>
    <row r="60">
      <c r="A60" s="28" t="inlineStr">
        <is>
          <t>Taxe locale sur le revenu — 지방소득세 (% de l'IS)</t>
        </is>
      </c>
      <c r="B60" s="30" t="n">
        <v>0.1</v>
      </c>
      <c r="G60" s="6" t="inlineStr">
        <is>
          <t>Corée : impôt local égal à 10 % de l'IS, qui s'ajoute à l'IS. Sans équivalent direct en France (ce n'est ni la CFE ni la CVAE)</t>
        </is>
      </c>
    </row>
    <row r="61">
      <c r="A61" s="28" t="inlineStr">
        <is>
          <t>Exonération jeune entreprise — 창업중소기업 세액감면</t>
        </is>
      </c>
      <c r="B61" s="30" t="n">
        <v>0</v>
      </c>
      <c r="G61" s="6" t="inlineStr">
        <is>
          <t>Corée : IS réduit de 50 à 100 % pendant 5 ans selon l'âge du fondateur (moins de 34 ans) et la localisation (hors zone de surdensité de la région de Séoul). Proche du statut JEI dans l'esprit, mais porte sur l'IS. 0 % si non éligible</t>
        </is>
      </c>
    </row>
    <row r="62">
      <c r="A62" s="28" t="inlineStr">
        <is>
          <t>Report des déficits — 이월결손금 (plafond d'imputation)</t>
        </is>
      </c>
      <c r="B62" s="30" t="n">
        <v>1</v>
      </c>
      <c r="G62" s="6" t="inlineStr">
        <is>
          <t>Corée : reportables 15 ans, imputables à 100 % du bénéfice pour une PME, 80 % sinon (France : 1 M€ + 50 % de l'excédent)</t>
        </is>
      </c>
    </row>
    <row r="64">
      <c r="A64" s="19" t="inlineStr">
        <is>
          <t>7. Participation de l'investisseur</t>
        </is>
      </c>
      <c r="B64" s="20" t="n"/>
      <c r="C64" s="20" t="n"/>
      <c r="D64" s="20" t="n"/>
      <c r="E64" s="20" t="n"/>
      <c r="F64" s="20" t="n"/>
      <c r="G64" s="20" t="n"/>
    </row>
    <row r="65">
      <c r="A65" s="28" t="inlineStr">
        <is>
          <t>Participation de l'investisseur</t>
        </is>
      </c>
      <c r="B65" s="30" t="n">
        <v>0.06</v>
      </c>
      <c r="G65" s="6" t="inlineStr">
        <is>
          <t>Valeur fournie par l'utilisateur. Déduite uniquement si le résultat après impôt est positif</t>
        </is>
      </c>
    </row>
    <row r="67">
      <c r="A67" s="19" t="inlineStr">
        <is>
          <t>8. Hypothèses de croissance — offres en libre-service (Starter, Growth, Elite), utilisées dans « Previsions »</t>
        </is>
      </c>
      <c r="B67" s="20" t="n"/>
      <c r="C67" s="20" t="n"/>
      <c r="D67" s="20" t="n"/>
      <c r="E67" s="20" t="n"/>
      <c r="F67" s="20" t="n"/>
      <c r="G67" s="20" t="n"/>
    </row>
    <row r="68">
      <c r="A68" s="28" t="inlineStr">
        <is>
          <t>Premier mois</t>
        </is>
      </c>
      <c r="B68" s="35" t="n">
        <v>46296</v>
      </c>
      <c r="G68" s="6" t="inlineStr">
        <is>
          <t>Mois 1</t>
        </is>
      </c>
    </row>
    <row r="69">
      <c r="A69" s="28" t="inlineStr">
        <is>
          <t>Clients payants au départ (libre-service)</t>
        </is>
      </c>
      <c r="B69" s="36" t="n">
        <v>3</v>
      </c>
      <c r="G69" s="6" t="inlineStr">
        <is>
          <t>Hypothèse</t>
        </is>
      </c>
    </row>
    <row r="70">
      <c r="A70" s="28" t="inlineStr">
        <is>
          <t>Nouveaux clients par mois (mois 1)</t>
        </is>
      </c>
      <c r="B70" s="37" t="n">
        <v>2</v>
      </c>
      <c r="G70" s="6" t="inlineStr">
        <is>
          <t>Hypothèse</t>
        </is>
      </c>
    </row>
    <row r="71">
      <c r="A71" s="28" t="inlineStr">
        <is>
          <t>Croissance mensuelle des nouveaux clients</t>
        </is>
      </c>
      <c r="B71" s="30" t="n">
        <v>0.03</v>
      </c>
      <c r="G71" s="6" t="inlineStr">
        <is>
          <t>Hypothèse — rythme commercial</t>
        </is>
      </c>
    </row>
    <row r="72">
      <c r="A72" s="28" t="inlineStr">
        <is>
          <t>Taux d'attrition mensuel (clients)</t>
        </is>
      </c>
      <c r="B72" s="30" t="n">
        <v>0.02</v>
      </c>
      <c r="G72" s="6" t="inlineStr">
        <is>
          <t>Hypothèse — 1 à 3 %/mois pour un SaaS B2B jeune</t>
        </is>
      </c>
    </row>
    <row r="73">
      <c r="A73" s="28" t="inlineStr">
        <is>
          <t>Trésorerie de départ (levée incluse)</t>
        </is>
      </c>
      <c r="B73" s="25" t="n">
        <v>200000000</v>
      </c>
      <c r="G73" s="6" t="inlineStr">
        <is>
          <t>Hypothèse — sert à calculer la date d'épuisement de la trésorerie</t>
        </is>
      </c>
    </row>
    <row r="75">
      <c r="A75" s="7" t="inlineStr">
        <is>
          <t>Offre</t>
        </is>
      </c>
      <c r="B75" s="7" t="inlineStr">
        <is>
          <t>Part des clients</t>
        </is>
      </c>
      <c r="C75" s="7" t="inlineStr">
        <is>
          <t>Sièges moyens / client</t>
        </is>
      </c>
      <c r="D75" s="7" t="inlineStr"/>
      <c r="E75" s="7" t="inlineStr"/>
      <c r="F75" s="7" t="inlineStr"/>
      <c r="G75" s="7" t="inlineStr">
        <is>
          <t>Remarque</t>
        </is>
      </c>
    </row>
    <row r="76">
      <c r="A76" s="8" t="inlineStr">
        <is>
          <t>Starter</t>
        </is>
      </c>
      <c r="B76" s="30" t="n">
        <v>0.5</v>
      </c>
      <c r="C76" s="38" t="n">
        <v>2.5</v>
      </c>
      <c r="G76" s="39">
        <f>IF(AND(ISNUMBER(Hypotheses!$E$6),C76&gt;Hypotheses!$E$6),"⚠ dépasse le nombre de sièges max. de l'offre","")</f>
        <v/>
      </c>
    </row>
    <row r="77">
      <c r="A77" s="8" t="inlineStr">
        <is>
          <t>Growth</t>
        </is>
      </c>
      <c r="B77" s="30" t="n">
        <v>0.35</v>
      </c>
      <c r="C77" s="38" t="n">
        <v>5</v>
      </c>
      <c r="G77" s="39">
        <f>IF(AND(ISNUMBER(Hypotheses!$E$7),C77&gt;Hypotheses!$E$7),"⚠ dépasse le nombre de sièges max. de l'offre","")</f>
        <v/>
      </c>
    </row>
    <row r="78">
      <c r="A78" s="8" t="inlineStr">
        <is>
          <t>Elite</t>
        </is>
      </c>
      <c r="B78" s="30" t="n">
        <v>0.15</v>
      </c>
      <c r="C78" s="38" t="n">
        <v>12</v>
      </c>
      <c r="G78" s="39">
        <f>IF(AND(ISNUMBER(Hypotheses!$E$8),C78&gt;Hypotheses!$E$8),"⚠ dépasse le nombre de sièges max. de l'offre","")</f>
        <v/>
      </c>
    </row>
    <row r="79">
      <c r="A79" s="8" t="inlineStr">
        <is>
          <t>Total (doit faire 100 %)</t>
        </is>
      </c>
      <c r="B79" s="40">
        <f>SUM(B76:B78)</f>
        <v/>
      </c>
      <c r="C79" s="41">
        <f>SUMPRODUCT(B76:B78,C76:C78)</f>
        <v/>
      </c>
      <c r="G79" s="39">
        <f>IF(ABS(B79-1)&gt;0.0001,"⚠ la somme des parts n'est pas égale à 100 %","Sièges moyens par client (moyenne pondérée) → colonne C")</f>
        <v/>
      </c>
    </row>
    <row r="81">
      <c r="A81" s="19" t="inlineStr">
        <is>
          <t>9. Temps de support client (CS) — offres en libre-service</t>
        </is>
      </c>
      <c r="B81" s="20" t="n"/>
      <c r="C81" s="20" t="n"/>
      <c r="D81" s="20" t="n"/>
      <c r="E81" s="20" t="n"/>
      <c r="F81" s="20" t="n"/>
      <c r="G81" s="20" t="n"/>
    </row>
    <row r="82">
      <c r="A82" s="6" t="inlineStr">
        <is>
          <t>Plus l'offre est élevée, plus il y a de demandes, d'appels et de réunions. Enterprise est pris en charge par son CSM dédié et exclu ici (voir section 10).</t>
        </is>
      </c>
    </row>
    <row r="83">
      <c r="A83" s="7" t="inlineStr">
        <is>
          <t>Poste</t>
        </is>
      </c>
      <c r="B83" s="7" t="inlineStr">
        <is>
          <t>Starter</t>
        </is>
      </c>
      <c r="C83" s="7" t="inlineStr">
        <is>
          <t>Growth</t>
        </is>
      </c>
      <c r="D83" s="7" t="inlineStr">
        <is>
          <t>Elite</t>
        </is>
      </c>
      <c r="E83" s="7" t="inlineStr"/>
      <c r="F83" s="7" t="inlineStr"/>
      <c r="G83" s="7" t="inlineStr">
        <is>
          <t>Remarque</t>
        </is>
      </c>
    </row>
    <row r="84">
      <c r="A84" s="28" t="inlineStr">
        <is>
          <t>Demandes par e-mail (par siège / mois)</t>
        </is>
      </c>
      <c r="B84" s="38" t="n">
        <v>0.5</v>
      </c>
      <c r="C84" s="38" t="n">
        <v>0.7</v>
      </c>
      <c r="D84" s="38" t="n">
        <v>1</v>
      </c>
      <c r="G84" s="6" t="inlineStr">
        <is>
          <t>Hypothèse — proportionnel au nombre d'utilisateurs (sièges)</t>
        </is>
      </c>
    </row>
    <row r="85">
      <c r="A85" s="28" t="inlineStr">
        <is>
          <t>Temps de traitement d'un e-mail (min)</t>
        </is>
      </c>
      <c r="B85" s="36" t="n">
        <v>15</v>
      </c>
      <c r="C85" s="36" t="n">
        <v>15</v>
      </c>
      <c r="D85" s="36" t="n">
        <v>15</v>
      </c>
      <c r="G85" s="6" t="inlineStr">
        <is>
          <t>Hypothèse — recherche et rédaction comprises. Engagement affiché : réponse en moins de 24 h</t>
        </is>
      </c>
    </row>
    <row r="86">
      <c r="A86" s="28" t="inlineStr">
        <is>
          <t>Appels téléphoniques (par client / mois)</t>
        </is>
      </c>
      <c r="B86" s="38" t="n">
        <v>0.5</v>
      </c>
      <c r="C86" s="38" t="n">
        <v>1</v>
      </c>
      <c r="D86" s="38" t="n">
        <v>2</v>
      </c>
      <c r="G86" s="6" t="inlineStr">
        <is>
          <t>Hypothèse — au niveau du compte (administrateur)</t>
        </is>
      </c>
    </row>
    <row r="87">
      <c r="A87" s="28" t="inlineStr">
        <is>
          <t>Durée d'un appel (min)</t>
        </is>
      </c>
      <c r="B87" s="36" t="n">
        <v>20</v>
      </c>
      <c r="C87" s="36" t="n">
        <v>30</v>
      </c>
      <c r="D87" s="36" t="n">
        <v>30</v>
      </c>
      <c r="G87" s="6" t="inlineStr">
        <is>
          <t>Hypothèse</t>
        </is>
      </c>
    </row>
    <row r="88">
      <c r="A88" s="28" t="inlineStr">
        <is>
          <t>Réunions régulières / coaching (heures par client / mois)</t>
        </is>
      </c>
      <c r="B88" s="38" t="n">
        <v>0</v>
      </c>
      <c r="C88" s="38" t="n">
        <v>0.5</v>
      </c>
      <c r="D88" s="38" t="n">
        <v>1.5</v>
      </c>
      <c r="G88" s="6" t="inlineStr">
        <is>
          <t>Hypothèse — point trimestriel Growth, coaching mensuel Elite (FAQ anglaise) et QBR</t>
        </is>
      </c>
    </row>
    <row r="89">
      <c r="A89" s="28" t="inlineStr">
        <is>
          <t>Onboarding (heures par nouveau client, une fois)</t>
        </is>
      </c>
      <c r="B89" s="38" t="n">
        <v>2</v>
      </c>
      <c r="C89" s="38" t="n">
        <v>4</v>
      </c>
      <c r="D89" s="38" t="n">
        <v>10</v>
      </c>
      <c r="G89" s="6" t="inlineStr">
        <is>
          <t>Hypothèse — uniquement le mois de la signature</t>
        </is>
      </c>
    </row>
    <row r="90">
      <c r="A90" s="8" t="inlineStr">
        <is>
          <t>→ Temps de support par siège / mois</t>
        </is>
      </c>
      <c r="B90" s="42">
        <f>B84*B85/60</f>
        <v/>
      </c>
      <c r="C90" s="42">
        <f>C84*C85/60</f>
        <v/>
      </c>
      <c r="D90" s="42">
        <f>D84*D85/60</f>
        <v/>
      </c>
      <c r="G90" s="6" t="inlineStr">
        <is>
          <t>Nombre d'e-mails × temps de traitement</t>
        </is>
      </c>
    </row>
    <row r="91">
      <c r="A91" s="8" t="inlineStr">
        <is>
          <t>→ Temps de support par client / mois (hors sièges)</t>
        </is>
      </c>
      <c r="B91" s="42">
        <f>B86*B87/60+B88</f>
        <v/>
      </c>
      <c r="C91" s="42">
        <f>C86*C87/60+C88</f>
        <v/>
      </c>
      <c r="D91" s="42">
        <f>D86*D87/60+D88</f>
        <v/>
      </c>
      <c r="G91" s="6" t="inlineStr">
        <is>
          <t>Appels + réunions</t>
        </is>
      </c>
    </row>
    <row r="93">
      <c r="A93" s="28" t="inlineStr">
        <is>
          <t>Part du temps du salarié 1 consacrée au support</t>
        </is>
      </c>
      <c r="B93" s="30" t="n">
        <v>0.5</v>
      </c>
      <c r="G93" s="6" t="inlineStr">
        <is>
          <t>Hypothèse — part du temps de travail des 3 salariés consacrée au support</t>
        </is>
      </c>
    </row>
    <row r="94">
      <c r="A94" s="28" t="inlineStr">
        <is>
          <t>Part du temps du salarié 2 consacrée au support</t>
        </is>
      </c>
      <c r="B94" s="30" t="n">
        <v>0.2</v>
      </c>
      <c r="G94" s="6" t="inlineStr"/>
    </row>
    <row r="95">
      <c r="A95" s="28" t="inlineStr">
        <is>
          <t>Part du temps du salarié 3 consacrée au support</t>
        </is>
      </c>
      <c r="B95" s="30" t="n">
        <v>0</v>
      </c>
      <c r="G95" s="6" t="inlineStr"/>
    </row>
    <row r="96">
      <c r="A96" s="28" t="inlineStr">
        <is>
          <t>Heures travaillées effectives par salarié / mois</t>
        </is>
      </c>
      <c r="B96" s="43" t="n">
        <v>160</v>
      </c>
      <c r="G96" s="6" t="inlineStr">
        <is>
          <t>Corée : 40 h/semaine (durée légale, contre 35 h en France) × 4,35 semaines − 15 jours de congés annuels (contre 5 semaines en France) ≈ 160 h</t>
        </is>
      </c>
    </row>
    <row r="97">
      <c r="A97" s="8" t="inlineStr">
        <is>
          <t>→ Capacité de support de l'équipe actuelle (h / mois)</t>
        </is>
      </c>
      <c r="B97" s="42">
        <f>Hypotheses!$B$96*SUM(B93:B95)</f>
        <v/>
      </c>
      <c r="G97" s="6" t="inlineStr">
        <is>
          <t>Heures effectives × somme des parts</t>
        </is>
      </c>
    </row>
    <row r="98">
      <c r="A98" s="28" t="inlineStr">
        <is>
          <t>Salaire annuel (연봉) d'un chargé de support supplémentaire</t>
        </is>
      </c>
      <c r="B98" s="25" t="n">
        <v>36000000</v>
      </c>
      <c r="G98" s="6" t="inlineStr">
        <is>
          <t>Hypothèse — recruté quand la capacité est dépassée</t>
        </is>
      </c>
    </row>
    <row r="99">
      <c r="A99" s="28" t="inlineStr">
        <is>
          <t>Heures de support effectives d'un chargé supplémentaire / mois</t>
        </is>
      </c>
      <c r="B99" s="43" t="n">
        <v>150</v>
      </c>
      <c r="G99" s="6" t="inlineStr">
        <is>
          <t>Hypothèse — hors formation et réunions</t>
        </is>
      </c>
    </row>
    <row r="100">
      <c r="A100" s="28" t="inlineStr">
        <is>
          <t>Mode de renfort</t>
        </is>
      </c>
      <c r="B100" s="29" t="inlineStr">
        <is>
          <t>entier</t>
        </is>
      </c>
      <c r="G100" s="6" t="inlineStr">
        <is>
          <t>« entier » : salarié permanent (정규직, proche du CDI) recruté par personne entière, arrondi au supérieur. « proportionnel » : temps partiel ou externalisation, au prorata des heures manquantes</t>
        </is>
      </c>
    </row>
    <row r="101">
      <c r="A101" s="8" t="inlineStr">
        <is>
          <t>→ Coût mensuel d'un chargé de support supplémentaire</t>
        </is>
      </c>
      <c r="B101" s="11">
        <f>Hypotheses!$B$98*(1+Hypotheses!$B$51)/12</f>
        <v/>
      </c>
      <c r="G101" s="6" t="inlineStr">
        <is>
          <t>Salaire annuel × (1 + charges employeur, indemnité de départ 퇴직금 comprise) ÷ 12</t>
        </is>
      </c>
    </row>
    <row r="102">
      <c r="A102" s="28" t="inlineStr">
        <is>
          <t>→ Coût d'une heure de support supplémentaire</t>
        </is>
      </c>
      <c r="B102" s="21">
        <f>Hypotheses!$B$101/Hypotheses!$B$99</f>
        <v/>
      </c>
      <c r="G102" s="6" t="inlineStr">
        <is>
          <t>Utilisé dans le calcul du seuil de rentabilité</t>
        </is>
      </c>
    </row>
    <row r="104">
      <c r="A104" s="19" t="inlineStr">
        <is>
          <t>10. Enterprise — installation sur les serveurs du client + CSM dédié</t>
        </is>
      </c>
      <c r="B104" s="20" t="n"/>
      <c r="C104" s="20" t="n"/>
      <c r="D104" s="20" t="n"/>
      <c r="E104" s="20" t="n"/>
      <c r="F104" s="20" t="n"/>
      <c r="G104" s="20" t="n"/>
    </row>
    <row r="105">
      <c r="A105" s="6" t="inlineStr">
        <is>
          <t>Enterprise est installé sur les serveurs du client, avec un CSM dédié par client. Les contrats sont peu nombreux et importants : saisissez-les un par un dans le tableau ci-dessous.</t>
        </is>
      </c>
    </row>
    <row r="106">
      <c r="A106" s="28" t="inlineStr">
        <is>
          <t>Coût d'installation serveur (à notre charge, une fois par contrat)</t>
        </is>
      </c>
      <c r="B106" s="25" t="n">
        <v>30000000</v>
      </c>
      <c r="G106" s="6" t="inlineStr">
        <is>
          <t>Hypothèse — temps d'ingénieur et sous-traitance : installation, revue de sécurité, migration des données, formation</t>
        </is>
      </c>
    </row>
    <row r="107">
      <c r="A107" s="28" t="inlineStr">
        <is>
          <t>Frais d'installation facturés au client (une fois par contrat)</t>
        </is>
      </c>
      <c r="B107" s="25" t="n">
        <v>0</v>
      </c>
      <c r="G107" s="6" t="inlineStr">
        <is>
          <t>À renseigner si l'installation est facturée. 0 par défaut (non facturée)</t>
        </is>
      </c>
    </row>
    <row r="108">
      <c r="A108" s="28" t="inlineStr">
        <is>
          <t>Maintenance du serveur (par client / mois)</t>
        </is>
      </c>
      <c r="B108" s="25" t="n">
        <v>1000000</v>
      </c>
      <c r="G108" s="6" t="inlineStr">
        <is>
          <t>Hypothèse — supervision à distance, déploiement des mises à jour, gestion des incidents</t>
        </is>
      </c>
    </row>
    <row r="109">
      <c r="A109" s="28" t="inlineStr">
        <is>
          <t>Salaire annuel (연봉) d'un CSM dédié</t>
        </is>
      </c>
      <c r="B109" s="25" t="n">
        <v>55000000</v>
      </c>
      <c r="G109" s="6" t="inlineStr">
        <is>
          <t>Hypothèse</t>
        </is>
      </c>
    </row>
    <row r="110">
      <c r="A110" s="28" t="inlineStr">
        <is>
          <t>CSM dédiés par client (valeur par défaut du calculateur)</t>
        </is>
      </c>
      <c r="B110" s="38" t="n">
        <v>1</v>
      </c>
      <c r="G110" s="6" t="inlineStr">
        <is>
          <t>1 ou 2. Les prévisions utilisent la valeur de chaque contrat ci-dessous</t>
        </is>
      </c>
    </row>
    <row r="111">
      <c r="A111" s="8" t="inlineStr">
        <is>
          <t>→ Coût mensuel d'un CSM dédié</t>
        </is>
      </c>
      <c r="B111" s="11">
        <f>Hypotheses!$B$109*(1+Hypotheses!$B$51)/12</f>
        <v/>
      </c>
      <c r="G111" s="6" t="inlineStr">
        <is>
          <t>Salaire annuel × (1 + charges employeur, indemnité de départ 퇴직금 comprise) ÷ 12</t>
        </is>
      </c>
    </row>
    <row r="113">
      <c r="A113" s="7" t="inlineStr">
        <is>
          <t>Contrat</t>
        </is>
      </c>
      <c r="B113" s="7" t="inlineStr">
        <is>
          <t>Mois de démarrage</t>
        </is>
      </c>
      <c r="C113" s="7" t="inlineStr">
        <is>
          <t>Sièges</t>
        </is>
      </c>
      <c r="D113" s="7" t="inlineStr">
        <is>
          <t>CSM dédiés</t>
        </is>
      </c>
      <c r="E113" s="7" t="inlineStr"/>
      <c r="F113" s="7" t="inlineStr"/>
      <c r="G113" s="7" t="inlineStr">
        <is>
          <t>Remarque</t>
        </is>
      </c>
    </row>
    <row r="114">
      <c r="A114" s="8" t="inlineStr">
        <is>
          <t>Contrat 1</t>
        </is>
      </c>
      <c r="B114" s="44" t="n">
        <v>18</v>
      </c>
      <c r="C114" s="36" t="n">
        <v>50</v>
      </c>
      <c r="D114" s="38" t="n">
        <v>1</v>
      </c>
      <c r="G114" s="6" t="inlineStr">
        <is>
          <t>Hypothèse — mois de démarrage vide = pas de contrat. Aucune résiliation supposée</t>
        </is>
      </c>
    </row>
    <row r="115">
      <c r="A115" s="8" t="inlineStr">
        <is>
          <t>Contrat 2</t>
        </is>
      </c>
      <c r="B115" s="44" t="n">
        <v>30</v>
      </c>
      <c r="C115" s="36" t="n">
        <v>80</v>
      </c>
      <c r="D115" s="38" t="n">
        <v>2</v>
      </c>
      <c r="G115" s="6" t="inlineStr"/>
    </row>
    <row r="116">
      <c r="A116" s="8" t="inlineStr">
        <is>
          <t>Contrat 3</t>
        </is>
      </c>
      <c r="B116" s="44" t="n"/>
      <c r="C116" s="36" t="n"/>
      <c r="D116" s="38" t="n"/>
      <c r="G116" s="6" t="inlineStr"/>
    </row>
    <row r="117">
      <c r="A117" s="8" t="inlineStr">
        <is>
          <t>Contrat 4</t>
        </is>
      </c>
      <c r="B117" s="44" t="n"/>
      <c r="C117" s="36" t="n"/>
      <c r="D117" s="38" t="n"/>
      <c r="G117" s="6" t="inlineStr"/>
    </row>
    <row r="118">
      <c r="A118" s="8" t="inlineStr">
        <is>
          <t>Contrat 5</t>
        </is>
      </c>
      <c r="B118" s="44" t="n"/>
      <c r="C118" s="36" t="n"/>
      <c r="D118" s="38" t="n"/>
      <c r="G118" s="6" t="inlineStr"/>
    </row>
  </sheetData>
  <dataValidations count="3">
    <dataValidation sqref="B12" showDropDown="0" showInputMessage="0" showErrorMessage="0" allowBlank="0" type="list">
      <formula1>"KRW,EUR,USD"</formula1>
    </dataValidation>
    <dataValidation sqref="B15" showDropDown="0" showInputMessage="0" showErrorMessage="0" allowBlank="0" type="list">
      <formula1>"HT,TTC"</formula1>
    </dataValidation>
    <dataValidation sqref="B100" showDropDown="0" showInputMessage="0" showErrorMessage="0" allowBlank="0" type="list">
      <formula1>"entier,proportionnel"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7"/>
  <sheetViews>
    <sheetView showGridLines="0" workbookViewId="0">
      <pane ySplit="3" topLeftCell="A4" activePane="bottomLeft" state="frozen"/>
      <selection pane="bottomLef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5" t="inlineStr">
        <is>
          <t>Calculateur de seuil de rentabilité — saisissez le nombre moyen de clients et de sièges</t>
        </is>
      </c>
    </row>
    <row r="2">
      <c r="A2" s="6" t="inlineStr">
        <is>
          <t>Saisissez dans les cellules jaunes le nombre moyen de clients et de sièges par client pour chaque offre. L'IS est calculé en annualisant ce résultat mensuel (sans report déficitaire). Les coûts ponctuels (onboarding, installation) sont exclus.</t>
        </is>
      </c>
    </row>
    <row r="4">
      <c r="A4" s="19" t="inlineStr">
        <is>
          <t>1. Saisie : clients et sièges</t>
        </is>
      </c>
      <c r="B4" s="20" t="n"/>
      <c r="C4" s="20" t="n"/>
      <c r="D4" s="20" t="n"/>
      <c r="E4" s="20" t="n"/>
      <c r="F4" s="20" t="n"/>
      <c r="G4" s="20" t="n"/>
      <c r="H4" s="20" t="n"/>
      <c r="I4" s="20" t="n"/>
    </row>
    <row r="5">
      <c r="A5" s="7" t="inlineStr">
        <is>
          <t>Offre</t>
        </is>
      </c>
      <c r="B5" s="7" t="inlineStr">
        <is>
          <t>Nombre moyen de clients</t>
        </is>
      </c>
      <c r="C5" s="7" t="inlineStr">
        <is>
          <t>Sièges moyens / client</t>
        </is>
      </c>
      <c r="D5" s="7" t="inlineStr">
        <is>
          <t>Total sièges</t>
        </is>
      </c>
      <c r="E5" s="7" t="inlineStr">
        <is>
          <t>Prix retenu (₩/siège)</t>
        </is>
      </c>
      <c r="F5" s="7" t="inlineStr">
        <is>
          <t>CA mensuel (₩)</t>
        </is>
      </c>
      <c r="G5" s="7" t="inlineStr">
        <is>
          <t>Marge sur coûts variables (₩)</t>
        </is>
      </c>
      <c r="H5" s="7" t="inlineStr">
        <is>
          <t>Temps de support / mois</t>
        </is>
      </c>
    </row>
    <row r="6">
      <c r="A6" s="8" t="inlineStr">
        <is>
          <t>Starter</t>
        </is>
      </c>
      <c r="B6" s="37" t="n">
        <v>10</v>
      </c>
      <c r="C6" s="38" t="n">
        <v>2.5</v>
      </c>
      <c r="D6" s="14">
        <f>B6*C6</f>
        <v/>
      </c>
      <c r="E6" s="17">
        <f>Hypotheses!$F$6</f>
        <v/>
      </c>
      <c r="F6" s="21">
        <f>D6*E6*Hypotheses!$B$18</f>
        <v/>
      </c>
      <c r="G6" s="21">
        <f>F6*(1-Hypotheses!$B$17)-D6*Hypotheses!$B$24</f>
        <v/>
      </c>
      <c r="H6" s="45">
        <f>B6*Hypotheses!$B$91+D6*Hypotheses!$B$90</f>
        <v/>
      </c>
      <c r="I6" s="39">
        <f>IF(AND(ISNUMBER(Hypotheses!$E$6),C6&gt;Hypotheses!$E$6),"⚠ sièges max. dépassés","")</f>
        <v/>
      </c>
    </row>
    <row r="7">
      <c r="A7" s="8" t="inlineStr">
        <is>
          <t>Growth</t>
        </is>
      </c>
      <c r="B7" s="37" t="n">
        <v>8</v>
      </c>
      <c r="C7" s="38" t="n">
        <v>5</v>
      </c>
      <c r="D7" s="14">
        <f>B7*C7</f>
        <v/>
      </c>
      <c r="E7" s="17">
        <f>Hypotheses!$F$7</f>
        <v/>
      </c>
      <c r="F7" s="21">
        <f>D7*E7*Hypotheses!$B$18</f>
        <v/>
      </c>
      <c r="G7" s="21">
        <f>F7*(1-Hypotheses!$B$17)-D7*Hypotheses!$C$24</f>
        <v/>
      </c>
      <c r="H7" s="45">
        <f>B7*Hypotheses!$C$91+D7*Hypotheses!$C$90</f>
        <v/>
      </c>
      <c r="I7" s="39">
        <f>IF(AND(ISNUMBER(Hypotheses!$E$7),C7&gt;Hypotheses!$E$7),"⚠ sièges max. dépassés","")</f>
        <v/>
      </c>
    </row>
    <row r="8">
      <c r="A8" s="8" t="inlineStr">
        <is>
          <t>Elite</t>
        </is>
      </c>
      <c r="B8" s="37" t="n">
        <v>3</v>
      </c>
      <c r="C8" s="38" t="n">
        <v>12</v>
      </c>
      <c r="D8" s="14">
        <f>B8*C8</f>
        <v/>
      </c>
      <c r="E8" s="17">
        <f>Hypotheses!$F$8</f>
        <v/>
      </c>
      <c r="F8" s="21">
        <f>D8*E8*Hypotheses!$B$18</f>
        <v/>
      </c>
      <c r="G8" s="21">
        <f>F8*(1-Hypotheses!$B$17)-D8*Hypotheses!$D$24</f>
        <v/>
      </c>
      <c r="H8" s="45">
        <f>B8*Hypotheses!$D$91+D8*Hypotheses!$D$90</f>
        <v/>
      </c>
      <c r="I8" s="39">
        <f>IF(AND(ISNUMBER(Hypotheses!$E$8),C8&gt;Hypotheses!$E$8),"⚠ sièges max. dépassés","")</f>
        <v/>
      </c>
    </row>
    <row r="9">
      <c r="A9" s="8" t="inlineStr">
        <is>
          <t>Enterprise</t>
        </is>
      </c>
      <c r="B9" s="37" t="n">
        <v>0</v>
      </c>
      <c r="C9" s="38" t="n">
        <v>50</v>
      </c>
      <c r="D9" s="14">
        <f>B9*C9</f>
        <v/>
      </c>
      <c r="E9" s="17">
        <f>Hypotheses!$F$9</f>
        <v/>
      </c>
      <c r="F9" s="21">
        <f>D9*E9*Hypotheses!$B$18</f>
        <v/>
      </c>
      <c r="G9" s="21">
        <f>F9*(1-Hypotheses!$B$17)-D9*Hypotheses!$E$24</f>
        <v/>
      </c>
      <c r="H9" s="46" t="inlineStr">
        <is>
          <t>CSM dédié</t>
        </is>
      </c>
      <c r="I9" s="39">
        <f>IF(AND(ISNUMBER(Hypotheses!$E$9),C9&gt;Hypotheses!$E$9),"⚠ sièges max. dépassés","")</f>
        <v/>
      </c>
    </row>
    <row r="10">
      <c r="A10" s="8" t="inlineStr">
        <is>
          <t>Total</t>
        </is>
      </c>
      <c r="B10" s="41">
        <f>SUM(B6:B9)</f>
        <v/>
      </c>
      <c r="C10" s="41">
        <f>IF(B10&gt;0,D10/B10,0)</f>
        <v/>
      </c>
      <c r="D10" s="41">
        <f>SUM(D6:D9)</f>
        <v/>
      </c>
      <c r="F10" s="11">
        <f>SUM(F6:F9)</f>
        <v/>
      </c>
      <c r="G10" s="11">
        <f>SUM(G6:G9)</f>
        <v/>
      </c>
      <c r="H10" s="42">
        <f>SUM(H6:H9)</f>
        <v/>
      </c>
    </row>
    <row r="11">
      <c r="C11" s="6" t="inlineStr">
        <is>
          <t>↑ sièges moyens par client</t>
        </is>
      </c>
    </row>
    <row r="13">
      <c r="A13" s="19" t="inlineStr">
        <is>
          <t>2. Équipe de support (offres en libre-service)</t>
        </is>
      </c>
      <c r="B13" s="20" t="n"/>
      <c r="C13" s="20" t="n"/>
      <c r="D13" s="20" t="n"/>
      <c r="E13" s="20" t="n"/>
      <c r="F13" s="20" t="n"/>
      <c r="G13" s="20" t="n"/>
      <c r="H13" s="20" t="n"/>
      <c r="I13" s="20" t="n"/>
    </row>
    <row r="14">
      <c r="A14" s="28" t="inlineStr">
        <is>
          <t>Temps de support nécessaire (mois)</t>
        </is>
      </c>
      <c r="B14" s="45">
        <f>H10</f>
        <v/>
      </c>
    </row>
    <row r="15">
      <c r="A15" s="28" t="inlineStr">
        <is>
          <t>→ Capacité de support de l'équipe actuelle (h / mois)</t>
        </is>
      </c>
      <c r="B15" s="45">
        <f>Hypotheses!$B$97</f>
        <v/>
      </c>
    </row>
    <row r="16">
      <c r="A16" s="28" t="inlineStr">
        <is>
          <t>Taux d'occupation du support (besoin ÷ capacité)</t>
        </is>
      </c>
      <c r="B16" s="47">
        <f>IF(Calculateur!$B$15&gt;0,Calculateur!$B$14/Calculateur!$B$15,0)</f>
        <v/>
      </c>
    </row>
    <row r="17">
      <c r="A17" s="8" t="inlineStr">
        <is>
          <t>Chargés de support supplémentaires</t>
        </is>
      </c>
      <c r="B17" s="41">
        <f>IF(Hypotheses!$B$100="proportionnel",MAX(0,Calculateur!$B$14-Calculateur!$B$15)/Hypotheses!$B$99,ROUNDUP(MAX(0,Calculateur!$B$14-Calculateur!$B$15)/Hypotheses!$B$99,0))</f>
        <v/>
      </c>
    </row>
    <row r="18">
      <c r="A18" s="8" t="inlineStr">
        <is>
          <t>Coût mensuel du support supplémentaire</t>
        </is>
      </c>
      <c r="B18" s="11">
        <f>Calculateur!$B$17*Hypotheses!$B$101</f>
        <v/>
      </c>
    </row>
    <row r="19">
      <c r="A19" s="28" t="inlineStr">
        <is>
          <t>Nombre maximal de clients avec l'équipe actuelle</t>
        </is>
      </c>
      <c r="B19" s="48">
        <f>IF(H10&gt;0,Calculateur!$B$15/(H10/SUM(B6:B8)),"—")</f>
        <v/>
      </c>
      <c r="G19" s="6" t="inlineStr">
        <is>
          <t>Selon la répartition actuelle des offres. Au-delà : recrutement</t>
        </is>
      </c>
    </row>
    <row r="21">
      <c r="A21" s="19" t="inlineStr">
        <is>
          <t>3. Enterprise (installation serveur + CSM dédié)</t>
        </is>
      </c>
      <c r="B21" s="20" t="n"/>
      <c r="C21" s="20" t="n"/>
      <c r="D21" s="20" t="n"/>
      <c r="E21" s="20" t="n"/>
      <c r="F21" s="20" t="n"/>
      <c r="G21" s="20" t="n"/>
      <c r="H21" s="20" t="n"/>
      <c r="I21" s="20" t="n"/>
    </row>
    <row r="22">
      <c r="A22" s="28" t="inlineStr">
        <is>
          <t>Clients Enterprise</t>
        </is>
      </c>
      <c r="B22" s="14">
        <f>B9</f>
        <v/>
      </c>
    </row>
    <row r="23">
      <c r="A23" s="28" t="inlineStr">
        <is>
          <t>CSM dédiés</t>
        </is>
      </c>
      <c r="B23" s="14">
        <f>B9*Hypotheses!$B$110</f>
        <v/>
      </c>
    </row>
    <row r="24">
      <c r="A24" s="28" t="inlineStr">
        <is>
          <t>Coût mensuel des CSM dédiés</t>
        </is>
      </c>
      <c r="B24" s="21">
        <f>Calculateur!$B$23*Hypotheses!$B$111</f>
        <v/>
      </c>
    </row>
    <row r="25">
      <c r="A25" s="28" t="inlineStr">
        <is>
          <t>Coût mensuel de maintenance des serveurs</t>
        </is>
      </c>
      <c r="B25" s="21">
        <f>B9*Hypotheses!$B$108</f>
        <v/>
      </c>
    </row>
    <row r="26">
      <c r="A26" s="32" t="inlineStr">
        <is>
          <t>Pour un client Enterprise (sièges de la cellule C9)</t>
        </is>
      </c>
    </row>
    <row r="27">
      <c r="A27" s="28" t="inlineStr">
        <is>
          <t>Marge mensuelle par client</t>
        </is>
      </c>
      <c r="B27" s="21">
        <f>C9*E9*Hypotheses!$B$18*(1-Hypotheses!$B$17)-C9*Hypotheses!$E$24</f>
        <v/>
      </c>
    </row>
    <row r="28">
      <c r="A28" s="28" t="inlineStr">
        <is>
          <t>Coûts dédiés mensuels par client (CSM + maintenance)</t>
        </is>
      </c>
      <c r="B28" s="21">
        <f>Hypotheses!$B$110*Hypotheses!$B$111+Hypotheses!$B$108</f>
        <v/>
      </c>
    </row>
    <row r="29">
      <c r="A29" s="8" t="inlineStr">
        <is>
          <t>→ Résultat mensuel par client</t>
        </is>
      </c>
      <c r="B29" s="49">
        <f>Calculateur!$B$27-Calculateur!$B$28</f>
        <v/>
      </c>
    </row>
    <row r="30">
      <c r="A30" s="28" t="inlineStr">
        <is>
          <t>Délai de récupération de l'installation (mois)</t>
        </is>
      </c>
      <c r="B30" s="48">
        <f>IF(Hypotheses!$B$106-Hypotheses!$B$107&lt;=0,0,IF(Calculateur!$B$29&gt;0,(Hypotheses!$B$106-Hypotheses!$B$107)/Calculateur!$B$29,"jamais récupéré"))</f>
        <v/>
      </c>
      <c r="G30" s="6" t="inlineStr">
        <is>
          <t>(coût d'installation − frais facturés) ÷ résultat mensuel par client</t>
        </is>
      </c>
    </row>
    <row r="31">
      <c r="A31" s="8" t="inlineStr">
        <is>
          <t>Sièges minimum pour qu'un client ne soit pas déficitaire</t>
        </is>
      </c>
      <c r="B31" s="50">
        <f>IF(E9*Hypotheses!$B$18*(1-Hypotheses!$B$17)-Hypotheses!$E$24&gt;0,Calculateur!$B$28/(E9*Hypotheses!$B$18*(1-Hypotheses!$B$17)-Hypotheses!$E$24),"—")</f>
        <v/>
      </c>
      <c r="G31" s="6" t="inlineStr">
        <is>
          <t>Point où le CA des sièges couvre le CSM et la maintenance</t>
        </is>
      </c>
    </row>
    <row r="33">
      <c r="A33" s="19" t="inlineStr">
        <is>
          <t>4. Compte de résultat mensuel (₩)</t>
        </is>
      </c>
      <c r="B33" s="20" t="n"/>
      <c r="C33" s="20" t="n"/>
      <c r="D33" s="20" t="n"/>
      <c r="E33" s="20" t="n"/>
      <c r="F33" s="20" t="n"/>
      <c r="G33" s="20" t="n"/>
      <c r="H33" s="20" t="n"/>
      <c r="I33" s="20" t="n"/>
    </row>
    <row r="34">
      <c r="A34" s="28" t="inlineStr">
        <is>
          <t>Chiffre d'affaires HT</t>
        </is>
      </c>
      <c r="B34" s="21">
        <f>F10</f>
        <v/>
      </c>
    </row>
    <row r="35">
      <c r="A35" s="28" t="inlineStr">
        <is>
          <t>(−) Frais de paiement</t>
        </is>
      </c>
      <c r="B35" s="21">
        <f>-F10*Hypotheses!$B$17</f>
        <v/>
      </c>
    </row>
    <row r="36">
      <c r="A36" s="28" t="inlineStr">
        <is>
          <t>(−) Coûts variables par siège (IA comprise)</t>
        </is>
      </c>
      <c r="B36" s="21">
        <f>-(D6*Hypotheses!$B$24+D7*Hypotheses!$C$24+D8*Hypotheses!$D$24+D9*Hypotheses!$E$24)</f>
        <v/>
      </c>
    </row>
    <row r="37">
      <c r="A37" s="8" t="inlineStr">
        <is>
          <t>→ Marge sur coûts variables</t>
        </is>
      </c>
      <c r="B37" s="11">
        <f>G10</f>
        <v/>
      </c>
    </row>
    <row r="38">
      <c r="A38" s="28" t="inlineStr">
        <is>
          <t>(−) Masse salariale (3 salariés, année 1)</t>
        </is>
      </c>
      <c r="B38" s="21">
        <f>-Hypotheses!$B$52</f>
        <v/>
      </c>
    </row>
    <row r="39">
      <c r="A39" s="28" t="inlineStr">
        <is>
          <t>(−) Support supplémentaire</t>
        </is>
      </c>
      <c r="B39" s="21">
        <f>-Calculateur!$B$18</f>
        <v/>
      </c>
    </row>
    <row r="40">
      <c r="A40" s="28" t="inlineStr">
        <is>
          <t>(−) CSM dédiés Enterprise</t>
        </is>
      </c>
      <c r="B40" s="21">
        <f>-Calculateur!$B$24</f>
        <v/>
      </c>
    </row>
    <row r="41">
      <c r="A41" s="28" t="inlineStr">
        <is>
          <t>(−) Maintenance serveurs Enterprise</t>
        </is>
      </c>
      <c r="B41" s="21">
        <f>-Calculateur!$B$25</f>
        <v/>
      </c>
    </row>
    <row r="42">
      <c r="A42" s="28" t="inlineStr">
        <is>
          <t>(−) Loyer</t>
        </is>
      </c>
      <c r="B42" s="21">
        <f>-Hypotheses!$B$27</f>
        <v/>
      </c>
    </row>
    <row r="43">
      <c r="A43" s="28" t="inlineStr">
        <is>
          <t>(−) Autres charges fixes</t>
        </is>
      </c>
      <c r="B43" s="21">
        <f>-(Hypotheses!$B$31-Hypotheses!$B$27)</f>
        <v/>
      </c>
    </row>
    <row r="44">
      <c r="A44" s="8" t="inlineStr">
        <is>
          <t>→ Résultat avant impôt</t>
        </is>
      </c>
      <c r="B44" s="11">
        <f>Calculateur!$B$37+SUM(B38:B43)</f>
        <v/>
      </c>
    </row>
    <row r="45">
      <c r="A45" s="28" t="inlineStr">
        <is>
          <t>(−) IS + taxe locale sur le revenu (mensualisé)</t>
        </is>
      </c>
      <c r="B45" s="21">
        <f>-(MIN(MAX(0,Calculateur!$B$44*12),Hypotheses!$A$56)*Hypotheses!$B$56+MAX(0,MIN(MAX(0,Calculateur!$B$44*12),Hypotheses!$A$57)-Hypotheses!$A$56)*Hypotheses!$B$57+MAX(0,MIN(MAX(0,Calculateur!$B$44*12),Hypotheses!$A$58)-Hypotheses!$A$57)*Hypotheses!$B$58+MAX(0,MAX(0,Calculateur!$B$44*12)-Hypotheses!$A$58)*Hypotheses!$B$59)*(1+Hypotheses!$B$60)*(1-Hypotheses!$B$61)/12</f>
        <v/>
      </c>
    </row>
    <row r="46">
      <c r="A46" s="8" t="inlineStr">
        <is>
          <t>→ Résultat après impôt</t>
        </is>
      </c>
      <c r="B46" s="11">
        <f>Calculateur!$B$44+Calculateur!$B$45</f>
        <v/>
      </c>
    </row>
    <row r="47">
      <c r="A47" s="28" t="inlineStr">
        <is>
          <t>(−) Part de l'investisseur (6 %)</t>
        </is>
      </c>
      <c r="B47" s="21">
        <f>-MAX(0,Calculateur!$B$46)*Hypotheses!$B$65</f>
        <v/>
      </c>
    </row>
    <row r="48">
      <c r="A48" s="51" t="inlineStr">
        <is>
          <t>→ Bénéfice net (mois)</t>
        </is>
      </c>
      <c r="B48" s="49">
        <f>Calculateur!$B$46+Calculateur!$B$47</f>
        <v/>
      </c>
      <c r="C48" s="8">
        <f>IF(Calculateur!$B$48&gt;0,"Bénéfice","Perte")</f>
        <v/>
      </c>
    </row>
    <row r="49">
      <c r="A49" s="8" t="inlineStr">
        <is>
          <t>→ Bénéfice net (annualisé)</t>
        </is>
      </c>
      <c r="B49" s="11">
        <f>Calculateur!$B$48*12</f>
        <v/>
      </c>
    </row>
    <row r="51">
      <c r="A51" s="19" t="inlineStr">
        <is>
          <t>5. Seuil de rentabilité</t>
        </is>
      </c>
      <c r="B51" s="20" t="n"/>
      <c r="C51" s="20" t="n"/>
      <c r="D51" s="20" t="n"/>
      <c r="E51" s="20" t="n"/>
      <c r="F51" s="20" t="n"/>
      <c r="G51" s="20" t="n"/>
      <c r="H51" s="20" t="n"/>
      <c r="I51" s="20" t="n"/>
    </row>
    <row r="52">
      <c r="A52" s="6" t="inlineStr">
        <is>
          <t>Combien de clients en libre-service faut-il pour dépasser un bénéfice net nul ? Le résultat Enterprise du tableau 1 (bénéfice ou perte) est pris tel quel.</t>
        </is>
      </c>
    </row>
    <row r="53">
      <c r="A53" s="28" t="inlineStr">
        <is>
          <t>Marge mensuelle par client en libre-service</t>
        </is>
      </c>
      <c r="B53" s="21">
        <f>IF(SUM(B6:B8)&gt;0,SUM(G6:G8)/SUM(B6:B8),0)</f>
        <v/>
      </c>
    </row>
    <row r="54">
      <c r="A54" s="28" t="inlineStr">
        <is>
          <t>Marge mensuelle par siège en libre-service</t>
        </is>
      </c>
      <c r="B54" s="21">
        <f>IF(SUM(D6:D8)&gt;0,SUM(G6:G8)/SUM(D6:D8),0)</f>
        <v/>
      </c>
    </row>
    <row r="55">
      <c r="A55" s="28" t="inlineStr">
        <is>
          <t>Temps de support mensuel par client en libre-service</t>
        </is>
      </c>
      <c r="B55" s="45">
        <f>IF(SUM(B6:B8)&gt;0,H10/SUM(B6:B8),0)</f>
        <v/>
      </c>
    </row>
    <row r="56">
      <c r="A56" s="28" t="inlineStr">
        <is>
          <t>Temps de support au niveau du client (appels, réunions, moyenne)</t>
        </is>
      </c>
      <c r="B56" s="45">
        <f>IF(SUM(B6:B8)&gt;0,(B6*Hypotheses!$B$91+B7*Hypotheses!$C$91+B8*Hypotheses!$D$91)/SUM(B6:B8),0)</f>
        <v/>
      </c>
    </row>
    <row r="57">
      <c r="A57" s="28" t="inlineStr">
        <is>
          <t>Temps de support au niveau du siège (e-mails, moyenne)</t>
        </is>
      </c>
      <c r="B57" s="45">
        <f>IF(SUM(D6:D8)&gt;0,(D6*Hypotheses!$B$90+D7*Hypotheses!$C$90+D8*Hypotheses!$D$90)/SUM(D6:D8),0)</f>
        <v/>
      </c>
    </row>
    <row r="58">
      <c r="A58" s="28" t="inlineStr">
        <is>
          <t>Charges fixes mensuelles à couvrir</t>
        </is>
      </c>
      <c r="B58" s="21">
        <f>Hypotheses!$B$52+Hypotheses!$B$31-(G9-Calculateur!$B$24-Calculateur!$B$25)</f>
        <v/>
      </c>
      <c r="G58" s="6" t="inlineStr">
        <is>
          <t>Salaires + charges fixes − résultat Enterprise (hors support supplémentaire)</t>
        </is>
      </c>
    </row>
    <row r="59">
      <c r="A59" s="8" t="inlineStr">
        <is>
          <t>Clients en libre-service au seuil de rentabilité</t>
        </is>
      </c>
      <c r="B59" s="52">
        <f>IF(Calculateur!$B$53&lt;=0,"marge ≤ 0",IF(Calculateur!$B$58&lt;=0,0,IF(Calculateur!$B$58/Calculateur!$B$53*Calculateur!$B$55&lt;=Hypotheses!$B$97,Calculateur!$B$58/Calculateur!$B$53,IF(Calculateur!$B$53-Calculateur!$B$55*Hypotheses!$B$102&gt;0,(Calculateur!$B$58-Hypotheses!$B$97*Hypotheses!$B$102)/(Calculateur!$B$53-Calculateur!$B$55*Hypotheses!$B$102),"coût du support &gt; marge (jamais rentable)"))))</f>
        <v/>
      </c>
      <c r="G59" s="6" t="inlineStr">
        <is>
          <t>Au-delà de la capacité actuelle, les heures manquantes sont valorisées au coût du support supplémentaire (approximation proportionnelle). En recrutement entier, le seuil réel est un peu plus haut</t>
        </is>
      </c>
    </row>
    <row r="60">
      <c r="A60" s="8" t="inlineStr">
        <is>
          <t>Sièges en libre-service au seuil de rentabilité</t>
        </is>
      </c>
      <c r="B60" s="52">
        <f>IF(ISNUMBER(Calculateur!$B$59),Calculateur!$B$59*IF(SUM(B6:B8)&gt;0,SUM(D6:D8)/SUM(B6:B8),0),"—")</f>
        <v/>
      </c>
    </row>
    <row r="61">
      <c r="A61" s="28" t="inlineStr">
        <is>
          <t>Clients supplémentaires nécessaires</t>
        </is>
      </c>
      <c r="B61" s="48">
        <f>IF(ISNUMBER(Calculateur!$B$59),MAX(0,Calculateur!$B$59-SUM(B6:B8)),"—")</f>
        <v/>
      </c>
    </row>
    <row r="63">
      <c r="A63" s="19" t="inlineStr">
        <is>
          <t>6. Table de sensibilité — bénéfice net mensuel (₩) : clients en libre-service × sièges moyens par client</t>
        </is>
      </c>
      <c r="B63" s="20" t="n"/>
      <c r="C63" s="20" t="n"/>
      <c r="D63" s="20" t="n"/>
      <c r="E63" s="20" t="n"/>
      <c r="F63" s="20" t="n"/>
      <c r="G63" s="20" t="n"/>
      <c r="H63" s="20" t="n"/>
      <c r="I63" s="20" t="n"/>
      <c r="J63" s="20" t="n"/>
    </row>
    <row r="64">
      <c r="A64" s="6" t="inlineStr">
        <is>
          <t>Répartition des offres en libre-service selon le tableau 1. Coût du support supplémentaire et résultat Enterprise inclus. Les en-têtes en bleu sont modifiables.</t>
        </is>
      </c>
    </row>
    <row r="65">
      <c r="A65" s="8" t="inlineStr">
        <is>
          <t>Clients ↓  /  sièges moyens →</t>
        </is>
      </c>
      <c r="B65" s="38" t="n">
        <v>2</v>
      </c>
      <c r="C65" s="38" t="n">
        <v>3</v>
      </c>
      <c r="D65" s="38" t="n">
        <v>4</v>
      </c>
      <c r="E65" s="38" t="n">
        <v>5</v>
      </c>
      <c r="F65" s="38" t="n">
        <v>7</v>
      </c>
      <c r="G65" s="38" t="n">
        <v>10</v>
      </c>
      <c r="H65" s="38" t="n">
        <v>15</v>
      </c>
      <c r="I65" s="38" t="n">
        <v>20</v>
      </c>
    </row>
    <row r="66">
      <c r="A66" s="36" t="n">
        <v>5</v>
      </c>
      <c r="B66" s="21">
        <f>(($A66*B$65*Calculateur!$B$54-Calculateur!$B$58-IF(Hypotheses!$B$100="proportionnel",MAX(0,($A66*Calculateur!$B$56+$A66*B$65*Calculateur!$B$57)-Hypotheses!$B$97)/Hypotheses!$B$99,ROUNDUP(MAX(0,($A66*Calculateur!$B$56+$A66*B$65*Calculateur!$B$57)-Hypotheses!$B$97)/Hypotheses!$B$99,0))*Hypotheses!$B$101)-(MIN(MAX(0,($A66*B$65*Calculateur!$B$54-Calculateur!$B$58-IF(Hypotheses!$B$100="proportionnel",MAX(0,($A66*Calculateur!$B$56+$A66*B$65*Calculateur!$B$57)-Hypotheses!$B$97)/Hypotheses!$B$99,ROUNDUP(MAX(0,($A66*Calculateur!$B$56+$A66*B$65*Calculateur!$B$57)-Hypotheses!$B$97)/Hypotheses!$B$99,0))*Hypotheses!$B$101)*12),Hypotheses!$A$56)*Hypotheses!$B$56+MAX(0,MIN(MAX(0,($A66*B$65*Calculateur!$B$54-Calculateur!$B$58-IF(Hypotheses!$B$100="proportionnel",MAX(0,($A66*Calculateur!$B$56+$A66*B$65*Calculateur!$B$57)-Hypotheses!$B$97)/Hypotheses!$B$99,ROUNDUP(MAX(0,($A66*Calculateur!$B$56+$A66*B$65*Calculateur!$B$57)-Hypotheses!$B$97)/Hypotheses!$B$99,0))*Hypotheses!$B$101)*12),Hypotheses!$A$57)-Hypotheses!$A$56)*Hypotheses!$B$57+MAX(0,MIN(MAX(0,($A66*B$65*Calculateur!$B$54-Calculateur!$B$58-IF(Hypotheses!$B$100="proportionnel",MAX(0,($A66*Calculateur!$B$56+$A66*B$65*Calculateur!$B$57)-Hypotheses!$B$97)/Hypotheses!$B$99,ROUNDUP(MAX(0,($A66*Calculateur!$B$56+$A66*B$65*Calculateur!$B$57)-Hypotheses!$B$97)/Hypotheses!$B$99,0))*Hypotheses!$B$101)*12),Hypotheses!$A$58)-Hypotheses!$A$57)*Hypotheses!$B$58+MAX(0,MAX(0,($A66*B$65*Calculateur!$B$54-Calculateur!$B$58-IF(Hypotheses!$B$100="proportionnel",MAX(0,($A66*Calculateur!$B$56+$A66*B$65*Calculateur!$B$57)-Hypotheses!$B$97)/Hypotheses!$B$99,ROUNDUP(MAX(0,($A66*Calculateur!$B$56+$A66*B$65*Calculateur!$B$57)-Hypotheses!$B$97)/Hypotheses!$B$99,0))*Hypotheses!$B$101)*12)-Hypotheses!$A$58)*Hypotheses!$B$59)*(1+Hypotheses!$B$60)*(1-Hypotheses!$B$61)/12)-MAX(0,(($A66*B$65*Calculateur!$B$54-Calculateur!$B$58-IF(Hypotheses!$B$100="proportionnel",MAX(0,($A66*Calculateur!$B$56+$A66*B$65*Calculateur!$B$57)-Hypotheses!$B$97)/Hypotheses!$B$99,ROUNDUP(MAX(0,($A66*Calculateur!$B$56+$A66*B$65*Calculateur!$B$57)-Hypotheses!$B$97)/Hypotheses!$B$99,0))*Hypotheses!$B$101)-(MIN(MAX(0,($A66*B$65*Calculateur!$B$54-Calculateur!$B$58-IF(Hypotheses!$B$100="proportionnel",MAX(0,($A66*Calculateur!$B$56+$A66*B$65*Calculateur!$B$57)-Hypotheses!$B$97)/Hypotheses!$B$99,ROUNDUP(MAX(0,($A66*Calculateur!$B$56+$A66*B$65*Calculateur!$B$57)-Hypotheses!$B$97)/Hypotheses!$B$99,0))*Hypotheses!$B$101)*12),Hypotheses!$A$56)*Hypotheses!$B$56+MAX(0,MIN(MAX(0,($A66*B$65*Calculateur!$B$54-Calculateur!$B$58-IF(Hypotheses!$B$100="proportionnel",MAX(0,($A66*Calculateur!$B$56+$A66*B$65*Calculateur!$B$57)-Hypotheses!$B$97)/Hypotheses!$B$99,ROUNDUP(MAX(0,($A66*Calculateur!$B$56+$A66*B$65*Calculateur!$B$57)-Hypotheses!$B$97)/Hypotheses!$B$99,0))*Hypotheses!$B$101)*12),Hypotheses!$A$57)-Hypotheses!$A$56)*Hypotheses!$B$57+MAX(0,MIN(MAX(0,($A66*B$65*Calculateur!$B$54-Calculateur!$B$58-IF(Hypotheses!$B$100="proportionnel",MAX(0,($A66*Calculateur!$B$56+$A66*B$65*Calculateur!$B$57)-Hypotheses!$B$97)/Hypotheses!$B$99,ROUNDUP(MAX(0,($A66*Calculateur!$B$56+$A66*B$65*Calculateur!$B$57)-Hypotheses!$B$97)/Hypotheses!$B$99,0))*Hypotheses!$B$101)*12),Hypotheses!$A$58)-Hypotheses!$A$57)*Hypotheses!$B$58+MAX(0,MAX(0,($A66*B$65*Calculateur!$B$54-Calculateur!$B$58-IF(Hypotheses!$B$100="proportionnel",MAX(0,($A66*Calculateur!$B$56+$A66*B$65*Calculateur!$B$57)-Hypotheses!$B$97)/Hypotheses!$B$99,ROUNDUP(MAX(0,($A66*Calculateur!$B$56+$A66*B$65*Calculateur!$B$57)-Hypotheses!$B$97)/Hypotheses!$B$99,0))*Hypotheses!$B$101)*12)-Hypotheses!$A$58)*Hypotheses!$B$59)*(1+Hypotheses!$B$60)*(1-Hypotheses!$B$61)/12))*Hypotheses!$B$65</f>
        <v/>
      </c>
      <c r="C66" s="21">
        <f>(($A66*C$65*Calculateur!$B$54-Calculateur!$B$58-IF(Hypotheses!$B$100="proportionnel",MAX(0,($A66*Calculateur!$B$56+$A66*C$65*Calculateur!$B$57)-Hypotheses!$B$97)/Hypotheses!$B$99,ROUNDUP(MAX(0,($A66*Calculateur!$B$56+$A66*C$65*Calculateur!$B$57)-Hypotheses!$B$97)/Hypotheses!$B$99,0))*Hypotheses!$B$101)-(MIN(MAX(0,($A66*C$65*Calculateur!$B$54-Calculateur!$B$58-IF(Hypotheses!$B$100="proportionnel",MAX(0,($A66*Calculateur!$B$56+$A66*C$65*Calculateur!$B$57)-Hypotheses!$B$97)/Hypotheses!$B$99,ROUNDUP(MAX(0,($A66*Calculateur!$B$56+$A66*C$65*Calculateur!$B$57)-Hypotheses!$B$97)/Hypotheses!$B$99,0))*Hypotheses!$B$101)*12),Hypotheses!$A$56)*Hypotheses!$B$56+MAX(0,MIN(MAX(0,($A66*C$65*Calculateur!$B$54-Calculateur!$B$58-IF(Hypotheses!$B$100="proportionnel",MAX(0,($A66*Calculateur!$B$56+$A66*C$65*Calculateur!$B$57)-Hypotheses!$B$97)/Hypotheses!$B$99,ROUNDUP(MAX(0,($A66*Calculateur!$B$56+$A66*C$65*Calculateur!$B$57)-Hypotheses!$B$97)/Hypotheses!$B$99,0))*Hypotheses!$B$101)*12),Hypotheses!$A$57)-Hypotheses!$A$56)*Hypotheses!$B$57+MAX(0,MIN(MAX(0,($A66*C$65*Calculateur!$B$54-Calculateur!$B$58-IF(Hypotheses!$B$100="proportionnel",MAX(0,($A66*Calculateur!$B$56+$A66*C$65*Calculateur!$B$57)-Hypotheses!$B$97)/Hypotheses!$B$99,ROUNDUP(MAX(0,($A66*Calculateur!$B$56+$A66*C$65*Calculateur!$B$57)-Hypotheses!$B$97)/Hypotheses!$B$99,0))*Hypotheses!$B$101)*12),Hypotheses!$A$58)-Hypotheses!$A$57)*Hypotheses!$B$58+MAX(0,MAX(0,($A66*C$65*Calculateur!$B$54-Calculateur!$B$58-IF(Hypotheses!$B$100="proportionnel",MAX(0,($A66*Calculateur!$B$56+$A66*C$65*Calculateur!$B$57)-Hypotheses!$B$97)/Hypotheses!$B$99,ROUNDUP(MAX(0,($A66*Calculateur!$B$56+$A66*C$65*Calculateur!$B$57)-Hypotheses!$B$97)/Hypotheses!$B$99,0))*Hypotheses!$B$101)*12)-Hypotheses!$A$58)*Hypotheses!$B$59)*(1+Hypotheses!$B$60)*(1-Hypotheses!$B$61)/12)-MAX(0,(($A66*C$65*Calculateur!$B$54-Calculateur!$B$58-IF(Hypotheses!$B$100="proportionnel",MAX(0,($A66*Calculateur!$B$56+$A66*C$65*Calculateur!$B$57)-Hypotheses!$B$97)/Hypotheses!$B$99,ROUNDUP(MAX(0,($A66*Calculateur!$B$56+$A66*C$65*Calculateur!$B$57)-Hypotheses!$B$97)/Hypotheses!$B$99,0))*Hypotheses!$B$101)-(MIN(MAX(0,($A66*C$65*Calculateur!$B$54-Calculateur!$B$58-IF(Hypotheses!$B$100="proportionnel",MAX(0,($A66*Calculateur!$B$56+$A66*C$65*Calculateur!$B$57)-Hypotheses!$B$97)/Hypotheses!$B$99,ROUNDUP(MAX(0,($A66*Calculateur!$B$56+$A66*C$65*Calculateur!$B$57)-Hypotheses!$B$97)/Hypotheses!$B$99,0))*Hypotheses!$B$101)*12),Hypotheses!$A$56)*Hypotheses!$B$56+MAX(0,MIN(MAX(0,($A66*C$65*Calculateur!$B$54-Calculateur!$B$58-IF(Hypotheses!$B$100="proportionnel",MAX(0,($A66*Calculateur!$B$56+$A66*C$65*Calculateur!$B$57)-Hypotheses!$B$97)/Hypotheses!$B$99,ROUNDUP(MAX(0,($A66*Calculateur!$B$56+$A66*C$65*Calculateur!$B$57)-Hypotheses!$B$97)/Hypotheses!$B$99,0))*Hypotheses!$B$101)*12),Hypotheses!$A$57)-Hypotheses!$A$56)*Hypotheses!$B$57+MAX(0,MIN(MAX(0,($A66*C$65*Calculateur!$B$54-Calculateur!$B$58-IF(Hypotheses!$B$100="proportionnel",MAX(0,($A66*Calculateur!$B$56+$A66*C$65*Calculateur!$B$57)-Hypotheses!$B$97)/Hypotheses!$B$99,ROUNDUP(MAX(0,($A66*Calculateur!$B$56+$A66*C$65*Calculateur!$B$57)-Hypotheses!$B$97)/Hypotheses!$B$99,0))*Hypotheses!$B$101)*12),Hypotheses!$A$58)-Hypotheses!$A$57)*Hypotheses!$B$58+MAX(0,MAX(0,($A66*C$65*Calculateur!$B$54-Calculateur!$B$58-IF(Hypotheses!$B$100="proportionnel",MAX(0,($A66*Calculateur!$B$56+$A66*C$65*Calculateur!$B$57)-Hypotheses!$B$97)/Hypotheses!$B$99,ROUNDUP(MAX(0,($A66*Calculateur!$B$56+$A66*C$65*Calculateur!$B$57)-Hypotheses!$B$97)/Hypotheses!$B$99,0))*Hypotheses!$B$101)*12)-Hypotheses!$A$58)*Hypotheses!$B$59)*(1+Hypotheses!$B$60)*(1-Hypotheses!$B$61)/12))*Hypotheses!$B$65</f>
        <v/>
      </c>
      <c r="D66" s="21">
        <f>(($A66*D$65*Calculateur!$B$54-Calculateur!$B$58-IF(Hypotheses!$B$100="proportionnel",MAX(0,($A66*Calculateur!$B$56+$A66*D$65*Calculateur!$B$57)-Hypotheses!$B$97)/Hypotheses!$B$99,ROUNDUP(MAX(0,($A66*Calculateur!$B$56+$A66*D$65*Calculateur!$B$57)-Hypotheses!$B$97)/Hypotheses!$B$99,0))*Hypotheses!$B$101)-(MIN(MAX(0,($A66*D$65*Calculateur!$B$54-Calculateur!$B$58-IF(Hypotheses!$B$100="proportionnel",MAX(0,($A66*Calculateur!$B$56+$A66*D$65*Calculateur!$B$57)-Hypotheses!$B$97)/Hypotheses!$B$99,ROUNDUP(MAX(0,($A66*Calculateur!$B$56+$A66*D$65*Calculateur!$B$57)-Hypotheses!$B$97)/Hypotheses!$B$99,0))*Hypotheses!$B$101)*12),Hypotheses!$A$56)*Hypotheses!$B$56+MAX(0,MIN(MAX(0,($A66*D$65*Calculateur!$B$54-Calculateur!$B$58-IF(Hypotheses!$B$100="proportionnel",MAX(0,($A66*Calculateur!$B$56+$A66*D$65*Calculateur!$B$57)-Hypotheses!$B$97)/Hypotheses!$B$99,ROUNDUP(MAX(0,($A66*Calculateur!$B$56+$A66*D$65*Calculateur!$B$57)-Hypotheses!$B$97)/Hypotheses!$B$99,0))*Hypotheses!$B$101)*12),Hypotheses!$A$57)-Hypotheses!$A$56)*Hypotheses!$B$57+MAX(0,MIN(MAX(0,($A66*D$65*Calculateur!$B$54-Calculateur!$B$58-IF(Hypotheses!$B$100="proportionnel",MAX(0,($A66*Calculateur!$B$56+$A66*D$65*Calculateur!$B$57)-Hypotheses!$B$97)/Hypotheses!$B$99,ROUNDUP(MAX(0,($A66*Calculateur!$B$56+$A66*D$65*Calculateur!$B$57)-Hypotheses!$B$97)/Hypotheses!$B$99,0))*Hypotheses!$B$101)*12),Hypotheses!$A$58)-Hypotheses!$A$57)*Hypotheses!$B$58+MAX(0,MAX(0,($A66*D$65*Calculateur!$B$54-Calculateur!$B$58-IF(Hypotheses!$B$100="proportionnel",MAX(0,($A66*Calculateur!$B$56+$A66*D$65*Calculateur!$B$57)-Hypotheses!$B$97)/Hypotheses!$B$99,ROUNDUP(MAX(0,($A66*Calculateur!$B$56+$A66*D$65*Calculateur!$B$57)-Hypotheses!$B$97)/Hypotheses!$B$99,0))*Hypotheses!$B$101)*12)-Hypotheses!$A$58)*Hypotheses!$B$59)*(1+Hypotheses!$B$60)*(1-Hypotheses!$B$61)/12)-MAX(0,(($A66*D$65*Calculateur!$B$54-Calculateur!$B$58-IF(Hypotheses!$B$100="proportionnel",MAX(0,($A66*Calculateur!$B$56+$A66*D$65*Calculateur!$B$57)-Hypotheses!$B$97)/Hypotheses!$B$99,ROUNDUP(MAX(0,($A66*Calculateur!$B$56+$A66*D$65*Calculateur!$B$57)-Hypotheses!$B$97)/Hypotheses!$B$99,0))*Hypotheses!$B$101)-(MIN(MAX(0,($A66*D$65*Calculateur!$B$54-Calculateur!$B$58-IF(Hypotheses!$B$100="proportionnel",MAX(0,($A66*Calculateur!$B$56+$A66*D$65*Calculateur!$B$57)-Hypotheses!$B$97)/Hypotheses!$B$99,ROUNDUP(MAX(0,($A66*Calculateur!$B$56+$A66*D$65*Calculateur!$B$57)-Hypotheses!$B$97)/Hypotheses!$B$99,0))*Hypotheses!$B$101)*12),Hypotheses!$A$56)*Hypotheses!$B$56+MAX(0,MIN(MAX(0,($A66*D$65*Calculateur!$B$54-Calculateur!$B$58-IF(Hypotheses!$B$100="proportionnel",MAX(0,($A66*Calculateur!$B$56+$A66*D$65*Calculateur!$B$57)-Hypotheses!$B$97)/Hypotheses!$B$99,ROUNDUP(MAX(0,($A66*Calculateur!$B$56+$A66*D$65*Calculateur!$B$57)-Hypotheses!$B$97)/Hypotheses!$B$99,0))*Hypotheses!$B$101)*12),Hypotheses!$A$57)-Hypotheses!$A$56)*Hypotheses!$B$57+MAX(0,MIN(MAX(0,($A66*D$65*Calculateur!$B$54-Calculateur!$B$58-IF(Hypotheses!$B$100="proportionnel",MAX(0,($A66*Calculateur!$B$56+$A66*D$65*Calculateur!$B$57)-Hypotheses!$B$97)/Hypotheses!$B$99,ROUNDUP(MAX(0,($A66*Calculateur!$B$56+$A66*D$65*Calculateur!$B$57)-Hypotheses!$B$97)/Hypotheses!$B$99,0))*Hypotheses!$B$101)*12),Hypotheses!$A$58)-Hypotheses!$A$57)*Hypotheses!$B$58+MAX(0,MAX(0,($A66*D$65*Calculateur!$B$54-Calculateur!$B$58-IF(Hypotheses!$B$100="proportionnel",MAX(0,($A66*Calculateur!$B$56+$A66*D$65*Calculateur!$B$57)-Hypotheses!$B$97)/Hypotheses!$B$99,ROUNDUP(MAX(0,($A66*Calculateur!$B$56+$A66*D$65*Calculateur!$B$57)-Hypotheses!$B$97)/Hypotheses!$B$99,0))*Hypotheses!$B$101)*12)-Hypotheses!$A$58)*Hypotheses!$B$59)*(1+Hypotheses!$B$60)*(1-Hypotheses!$B$61)/12))*Hypotheses!$B$65</f>
        <v/>
      </c>
      <c r="E66" s="21">
        <f>(($A66*E$65*Calculateur!$B$54-Calculateur!$B$58-IF(Hypotheses!$B$100="proportionnel",MAX(0,($A66*Calculateur!$B$56+$A66*E$65*Calculateur!$B$57)-Hypotheses!$B$97)/Hypotheses!$B$99,ROUNDUP(MAX(0,($A66*Calculateur!$B$56+$A66*E$65*Calculateur!$B$57)-Hypotheses!$B$97)/Hypotheses!$B$99,0))*Hypotheses!$B$101)-(MIN(MAX(0,($A66*E$65*Calculateur!$B$54-Calculateur!$B$58-IF(Hypotheses!$B$100="proportionnel",MAX(0,($A66*Calculateur!$B$56+$A66*E$65*Calculateur!$B$57)-Hypotheses!$B$97)/Hypotheses!$B$99,ROUNDUP(MAX(0,($A66*Calculateur!$B$56+$A66*E$65*Calculateur!$B$57)-Hypotheses!$B$97)/Hypotheses!$B$99,0))*Hypotheses!$B$101)*12),Hypotheses!$A$56)*Hypotheses!$B$56+MAX(0,MIN(MAX(0,($A66*E$65*Calculateur!$B$54-Calculateur!$B$58-IF(Hypotheses!$B$100="proportionnel",MAX(0,($A66*Calculateur!$B$56+$A66*E$65*Calculateur!$B$57)-Hypotheses!$B$97)/Hypotheses!$B$99,ROUNDUP(MAX(0,($A66*Calculateur!$B$56+$A66*E$65*Calculateur!$B$57)-Hypotheses!$B$97)/Hypotheses!$B$99,0))*Hypotheses!$B$101)*12),Hypotheses!$A$57)-Hypotheses!$A$56)*Hypotheses!$B$57+MAX(0,MIN(MAX(0,($A66*E$65*Calculateur!$B$54-Calculateur!$B$58-IF(Hypotheses!$B$100="proportionnel",MAX(0,($A66*Calculateur!$B$56+$A66*E$65*Calculateur!$B$57)-Hypotheses!$B$97)/Hypotheses!$B$99,ROUNDUP(MAX(0,($A66*Calculateur!$B$56+$A66*E$65*Calculateur!$B$57)-Hypotheses!$B$97)/Hypotheses!$B$99,0))*Hypotheses!$B$101)*12),Hypotheses!$A$58)-Hypotheses!$A$57)*Hypotheses!$B$58+MAX(0,MAX(0,($A66*E$65*Calculateur!$B$54-Calculateur!$B$58-IF(Hypotheses!$B$100="proportionnel",MAX(0,($A66*Calculateur!$B$56+$A66*E$65*Calculateur!$B$57)-Hypotheses!$B$97)/Hypotheses!$B$99,ROUNDUP(MAX(0,($A66*Calculateur!$B$56+$A66*E$65*Calculateur!$B$57)-Hypotheses!$B$97)/Hypotheses!$B$99,0))*Hypotheses!$B$101)*12)-Hypotheses!$A$58)*Hypotheses!$B$59)*(1+Hypotheses!$B$60)*(1-Hypotheses!$B$61)/12)-MAX(0,(($A66*E$65*Calculateur!$B$54-Calculateur!$B$58-IF(Hypotheses!$B$100="proportionnel",MAX(0,($A66*Calculateur!$B$56+$A66*E$65*Calculateur!$B$57)-Hypotheses!$B$97)/Hypotheses!$B$99,ROUNDUP(MAX(0,($A66*Calculateur!$B$56+$A66*E$65*Calculateur!$B$57)-Hypotheses!$B$97)/Hypotheses!$B$99,0))*Hypotheses!$B$101)-(MIN(MAX(0,($A66*E$65*Calculateur!$B$54-Calculateur!$B$58-IF(Hypotheses!$B$100="proportionnel",MAX(0,($A66*Calculateur!$B$56+$A66*E$65*Calculateur!$B$57)-Hypotheses!$B$97)/Hypotheses!$B$99,ROUNDUP(MAX(0,($A66*Calculateur!$B$56+$A66*E$65*Calculateur!$B$57)-Hypotheses!$B$97)/Hypotheses!$B$99,0))*Hypotheses!$B$101)*12),Hypotheses!$A$56)*Hypotheses!$B$56+MAX(0,MIN(MAX(0,($A66*E$65*Calculateur!$B$54-Calculateur!$B$58-IF(Hypotheses!$B$100="proportionnel",MAX(0,($A66*Calculateur!$B$56+$A66*E$65*Calculateur!$B$57)-Hypotheses!$B$97)/Hypotheses!$B$99,ROUNDUP(MAX(0,($A66*Calculateur!$B$56+$A66*E$65*Calculateur!$B$57)-Hypotheses!$B$97)/Hypotheses!$B$99,0))*Hypotheses!$B$101)*12),Hypotheses!$A$57)-Hypotheses!$A$56)*Hypotheses!$B$57+MAX(0,MIN(MAX(0,($A66*E$65*Calculateur!$B$54-Calculateur!$B$58-IF(Hypotheses!$B$100="proportionnel",MAX(0,($A66*Calculateur!$B$56+$A66*E$65*Calculateur!$B$57)-Hypotheses!$B$97)/Hypotheses!$B$99,ROUNDUP(MAX(0,($A66*Calculateur!$B$56+$A66*E$65*Calculateur!$B$57)-Hypotheses!$B$97)/Hypotheses!$B$99,0))*Hypotheses!$B$101)*12),Hypotheses!$A$58)-Hypotheses!$A$57)*Hypotheses!$B$58+MAX(0,MAX(0,($A66*E$65*Calculateur!$B$54-Calculateur!$B$58-IF(Hypotheses!$B$100="proportionnel",MAX(0,($A66*Calculateur!$B$56+$A66*E$65*Calculateur!$B$57)-Hypotheses!$B$97)/Hypotheses!$B$99,ROUNDUP(MAX(0,($A66*Calculateur!$B$56+$A66*E$65*Calculateur!$B$57)-Hypotheses!$B$97)/Hypotheses!$B$99,0))*Hypotheses!$B$101)*12)-Hypotheses!$A$58)*Hypotheses!$B$59)*(1+Hypotheses!$B$60)*(1-Hypotheses!$B$61)/12))*Hypotheses!$B$65</f>
        <v/>
      </c>
      <c r="F66" s="21">
        <f>(($A66*F$65*Calculateur!$B$54-Calculateur!$B$58-IF(Hypotheses!$B$100="proportionnel",MAX(0,($A66*Calculateur!$B$56+$A66*F$65*Calculateur!$B$57)-Hypotheses!$B$97)/Hypotheses!$B$99,ROUNDUP(MAX(0,($A66*Calculateur!$B$56+$A66*F$65*Calculateur!$B$57)-Hypotheses!$B$97)/Hypotheses!$B$99,0))*Hypotheses!$B$101)-(MIN(MAX(0,($A66*F$65*Calculateur!$B$54-Calculateur!$B$58-IF(Hypotheses!$B$100="proportionnel",MAX(0,($A66*Calculateur!$B$56+$A66*F$65*Calculateur!$B$57)-Hypotheses!$B$97)/Hypotheses!$B$99,ROUNDUP(MAX(0,($A66*Calculateur!$B$56+$A66*F$65*Calculateur!$B$57)-Hypotheses!$B$97)/Hypotheses!$B$99,0))*Hypotheses!$B$101)*12),Hypotheses!$A$56)*Hypotheses!$B$56+MAX(0,MIN(MAX(0,($A66*F$65*Calculateur!$B$54-Calculateur!$B$58-IF(Hypotheses!$B$100="proportionnel",MAX(0,($A66*Calculateur!$B$56+$A66*F$65*Calculateur!$B$57)-Hypotheses!$B$97)/Hypotheses!$B$99,ROUNDUP(MAX(0,($A66*Calculateur!$B$56+$A66*F$65*Calculateur!$B$57)-Hypotheses!$B$97)/Hypotheses!$B$99,0))*Hypotheses!$B$101)*12),Hypotheses!$A$57)-Hypotheses!$A$56)*Hypotheses!$B$57+MAX(0,MIN(MAX(0,($A66*F$65*Calculateur!$B$54-Calculateur!$B$58-IF(Hypotheses!$B$100="proportionnel",MAX(0,($A66*Calculateur!$B$56+$A66*F$65*Calculateur!$B$57)-Hypotheses!$B$97)/Hypotheses!$B$99,ROUNDUP(MAX(0,($A66*Calculateur!$B$56+$A66*F$65*Calculateur!$B$57)-Hypotheses!$B$97)/Hypotheses!$B$99,0))*Hypotheses!$B$101)*12),Hypotheses!$A$58)-Hypotheses!$A$57)*Hypotheses!$B$58+MAX(0,MAX(0,($A66*F$65*Calculateur!$B$54-Calculateur!$B$58-IF(Hypotheses!$B$100="proportionnel",MAX(0,($A66*Calculateur!$B$56+$A66*F$65*Calculateur!$B$57)-Hypotheses!$B$97)/Hypotheses!$B$99,ROUNDUP(MAX(0,($A66*Calculateur!$B$56+$A66*F$65*Calculateur!$B$57)-Hypotheses!$B$97)/Hypotheses!$B$99,0))*Hypotheses!$B$101)*12)-Hypotheses!$A$58)*Hypotheses!$B$59)*(1+Hypotheses!$B$60)*(1-Hypotheses!$B$61)/12)-MAX(0,(($A66*F$65*Calculateur!$B$54-Calculateur!$B$58-IF(Hypotheses!$B$100="proportionnel",MAX(0,($A66*Calculateur!$B$56+$A66*F$65*Calculateur!$B$57)-Hypotheses!$B$97)/Hypotheses!$B$99,ROUNDUP(MAX(0,($A66*Calculateur!$B$56+$A66*F$65*Calculateur!$B$57)-Hypotheses!$B$97)/Hypotheses!$B$99,0))*Hypotheses!$B$101)-(MIN(MAX(0,($A66*F$65*Calculateur!$B$54-Calculateur!$B$58-IF(Hypotheses!$B$100="proportionnel",MAX(0,($A66*Calculateur!$B$56+$A66*F$65*Calculateur!$B$57)-Hypotheses!$B$97)/Hypotheses!$B$99,ROUNDUP(MAX(0,($A66*Calculateur!$B$56+$A66*F$65*Calculateur!$B$57)-Hypotheses!$B$97)/Hypotheses!$B$99,0))*Hypotheses!$B$101)*12),Hypotheses!$A$56)*Hypotheses!$B$56+MAX(0,MIN(MAX(0,($A66*F$65*Calculateur!$B$54-Calculateur!$B$58-IF(Hypotheses!$B$100="proportionnel",MAX(0,($A66*Calculateur!$B$56+$A66*F$65*Calculateur!$B$57)-Hypotheses!$B$97)/Hypotheses!$B$99,ROUNDUP(MAX(0,($A66*Calculateur!$B$56+$A66*F$65*Calculateur!$B$57)-Hypotheses!$B$97)/Hypotheses!$B$99,0))*Hypotheses!$B$101)*12),Hypotheses!$A$57)-Hypotheses!$A$56)*Hypotheses!$B$57+MAX(0,MIN(MAX(0,($A66*F$65*Calculateur!$B$54-Calculateur!$B$58-IF(Hypotheses!$B$100="proportionnel",MAX(0,($A66*Calculateur!$B$56+$A66*F$65*Calculateur!$B$57)-Hypotheses!$B$97)/Hypotheses!$B$99,ROUNDUP(MAX(0,($A66*Calculateur!$B$56+$A66*F$65*Calculateur!$B$57)-Hypotheses!$B$97)/Hypotheses!$B$99,0))*Hypotheses!$B$101)*12),Hypotheses!$A$58)-Hypotheses!$A$57)*Hypotheses!$B$58+MAX(0,MAX(0,($A66*F$65*Calculateur!$B$54-Calculateur!$B$58-IF(Hypotheses!$B$100="proportionnel",MAX(0,($A66*Calculateur!$B$56+$A66*F$65*Calculateur!$B$57)-Hypotheses!$B$97)/Hypotheses!$B$99,ROUNDUP(MAX(0,($A66*Calculateur!$B$56+$A66*F$65*Calculateur!$B$57)-Hypotheses!$B$97)/Hypotheses!$B$99,0))*Hypotheses!$B$101)*12)-Hypotheses!$A$58)*Hypotheses!$B$59)*(1+Hypotheses!$B$60)*(1-Hypotheses!$B$61)/12))*Hypotheses!$B$65</f>
        <v/>
      </c>
      <c r="G66" s="21">
        <f>(($A66*G$65*Calculateur!$B$54-Calculateur!$B$58-IF(Hypotheses!$B$100="proportionnel",MAX(0,($A66*Calculateur!$B$56+$A66*G$65*Calculateur!$B$57)-Hypotheses!$B$97)/Hypotheses!$B$99,ROUNDUP(MAX(0,($A66*Calculateur!$B$56+$A66*G$65*Calculateur!$B$57)-Hypotheses!$B$97)/Hypotheses!$B$99,0))*Hypotheses!$B$101)-(MIN(MAX(0,($A66*G$65*Calculateur!$B$54-Calculateur!$B$58-IF(Hypotheses!$B$100="proportionnel",MAX(0,($A66*Calculateur!$B$56+$A66*G$65*Calculateur!$B$57)-Hypotheses!$B$97)/Hypotheses!$B$99,ROUNDUP(MAX(0,($A66*Calculateur!$B$56+$A66*G$65*Calculateur!$B$57)-Hypotheses!$B$97)/Hypotheses!$B$99,0))*Hypotheses!$B$101)*12),Hypotheses!$A$56)*Hypotheses!$B$56+MAX(0,MIN(MAX(0,($A66*G$65*Calculateur!$B$54-Calculateur!$B$58-IF(Hypotheses!$B$100="proportionnel",MAX(0,($A66*Calculateur!$B$56+$A66*G$65*Calculateur!$B$57)-Hypotheses!$B$97)/Hypotheses!$B$99,ROUNDUP(MAX(0,($A66*Calculateur!$B$56+$A66*G$65*Calculateur!$B$57)-Hypotheses!$B$97)/Hypotheses!$B$99,0))*Hypotheses!$B$101)*12),Hypotheses!$A$57)-Hypotheses!$A$56)*Hypotheses!$B$57+MAX(0,MIN(MAX(0,($A66*G$65*Calculateur!$B$54-Calculateur!$B$58-IF(Hypotheses!$B$100="proportionnel",MAX(0,($A66*Calculateur!$B$56+$A66*G$65*Calculateur!$B$57)-Hypotheses!$B$97)/Hypotheses!$B$99,ROUNDUP(MAX(0,($A66*Calculateur!$B$56+$A66*G$65*Calculateur!$B$57)-Hypotheses!$B$97)/Hypotheses!$B$99,0))*Hypotheses!$B$101)*12),Hypotheses!$A$58)-Hypotheses!$A$57)*Hypotheses!$B$58+MAX(0,MAX(0,($A66*G$65*Calculateur!$B$54-Calculateur!$B$58-IF(Hypotheses!$B$100="proportionnel",MAX(0,($A66*Calculateur!$B$56+$A66*G$65*Calculateur!$B$57)-Hypotheses!$B$97)/Hypotheses!$B$99,ROUNDUP(MAX(0,($A66*Calculateur!$B$56+$A66*G$65*Calculateur!$B$57)-Hypotheses!$B$97)/Hypotheses!$B$99,0))*Hypotheses!$B$101)*12)-Hypotheses!$A$58)*Hypotheses!$B$59)*(1+Hypotheses!$B$60)*(1-Hypotheses!$B$61)/12)-MAX(0,(($A66*G$65*Calculateur!$B$54-Calculateur!$B$58-IF(Hypotheses!$B$100="proportionnel",MAX(0,($A66*Calculateur!$B$56+$A66*G$65*Calculateur!$B$57)-Hypotheses!$B$97)/Hypotheses!$B$99,ROUNDUP(MAX(0,($A66*Calculateur!$B$56+$A66*G$65*Calculateur!$B$57)-Hypotheses!$B$97)/Hypotheses!$B$99,0))*Hypotheses!$B$101)-(MIN(MAX(0,($A66*G$65*Calculateur!$B$54-Calculateur!$B$58-IF(Hypotheses!$B$100="proportionnel",MAX(0,($A66*Calculateur!$B$56+$A66*G$65*Calculateur!$B$57)-Hypotheses!$B$97)/Hypotheses!$B$99,ROUNDUP(MAX(0,($A66*Calculateur!$B$56+$A66*G$65*Calculateur!$B$57)-Hypotheses!$B$97)/Hypotheses!$B$99,0))*Hypotheses!$B$101)*12),Hypotheses!$A$56)*Hypotheses!$B$56+MAX(0,MIN(MAX(0,($A66*G$65*Calculateur!$B$54-Calculateur!$B$58-IF(Hypotheses!$B$100="proportionnel",MAX(0,($A66*Calculateur!$B$56+$A66*G$65*Calculateur!$B$57)-Hypotheses!$B$97)/Hypotheses!$B$99,ROUNDUP(MAX(0,($A66*Calculateur!$B$56+$A66*G$65*Calculateur!$B$57)-Hypotheses!$B$97)/Hypotheses!$B$99,0))*Hypotheses!$B$101)*12),Hypotheses!$A$57)-Hypotheses!$A$56)*Hypotheses!$B$57+MAX(0,MIN(MAX(0,($A66*G$65*Calculateur!$B$54-Calculateur!$B$58-IF(Hypotheses!$B$100="proportionnel",MAX(0,($A66*Calculateur!$B$56+$A66*G$65*Calculateur!$B$57)-Hypotheses!$B$97)/Hypotheses!$B$99,ROUNDUP(MAX(0,($A66*Calculateur!$B$56+$A66*G$65*Calculateur!$B$57)-Hypotheses!$B$97)/Hypotheses!$B$99,0))*Hypotheses!$B$101)*12),Hypotheses!$A$58)-Hypotheses!$A$57)*Hypotheses!$B$58+MAX(0,MAX(0,($A66*G$65*Calculateur!$B$54-Calculateur!$B$58-IF(Hypotheses!$B$100="proportionnel",MAX(0,($A66*Calculateur!$B$56+$A66*G$65*Calculateur!$B$57)-Hypotheses!$B$97)/Hypotheses!$B$99,ROUNDUP(MAX(0,($A66*Calculateur!$B$56+$A66*G$65*Calculateur!$B$57)-Hypotheses!$B$97)/Hypotheses!$B$99,0))*Hypotheses!$B$101)*12)-Hypotheses!$A$58)*Hypotheses!$B$59)*(1+Hypotheses!$B$60)*(1-Hypotheses!$B$61)/12))*Hypotheses!$B$65</f>
        <v/>
      </c>
      <c r="H66" s="21">
        <f>(($A66*H$65*Calculateur!$B$54-Calculateur!$B$58-IF(Hypotheses!$B$100="proportionnel",MAX(0,($A66*Calculateur!$B$56+$A66*H$65*Calculateur!$B$57)-Hypotheses!$B$97)/Hypotheses!$B$99,ROUNDUP(MAX(0,($A66*Calculateur!$B$56+$A66*H$65*Calculateur!$B$57)-Hypotheses!$B$97)/Hypotheses!$B$99,0))*Hypotheses!$B$101)-(MIN(MAX(0,($A66*H$65*Calculateur!$B$54-Calculateur!$B$58-IF(Hypotheses!$B$100="proportionnel",MAX(0,($A66*Calculateur!$B$56+$A66*H$65*Calculateur!$B$57)-Hypotheses!$B$97)/Hypotheses!$B$99,ROUNDUP(MAX(0,($A66*Calculateur!$B$56+$A66*H$65*Calculateur!$B$57)-Hypotheses!$B$97)/Hypotheses!$B$99,0))*Hypotheses!$B$101)*12),Hypotheses!$A$56)*Hypotheses!$B$56+MAX(0,MIN(MAX(0,($A66*H$65*Calculateur!$B$54-Calculateur!$B$58-IF(Hypotheses!$B$100="proportionnel",MAX(0,($A66*Calculateur!$B$56+$A66*H$65*Calculateur!$B$57)-Hypotheses!$B$97)/Hypotheses!$B$99,ROUNDUP(MAX(0,($A66*Calculateur!$B$56+$A66*H$65*Calculateur!$B$57)-Hypotheses!$B$97)/Hypotheses!$B$99,0))*Hypotheses!$B$101)*12),Hypotheses!$A$57)-Hypotheses!$A$56)*Hypotheses!$B$57+MAX(0,MIN(MAX(0,($A66*H$65*Calculateur!$B$54-Calculateur!$B$58-IF(Hypotheses!$B$100="proportionnel",MAX(0,($A66*Calculateur!$B$56+$A66*H$65*Calculateur!$B$57)-Hypotheses!$B$97)/Hypotheses!$B$99,ROUNDUP(MAX(0,($A66*Calculateur!$B$56+$A66*H$65*Calculateur!$B$57)-Hypotheses!$B$97)/Hypotheses!$B$99,0))*Hypotheses!$B$101)*12),Hypotheses!$A$58)-Hypotheses!$A$57)*Hypotheses!$B$58+MAX(0,MAX(0,($A66*H$65*Calculateur!$B$54-Calculateur!$B$58-IF(Hypotheses!$B$100="proportionnel",MAX(0,($A66*Calculateur!$B$56+$A66*H$65*Calculateur!$B$57)-Hypotheses!$B$97)/Hypotheses!$B$99,ROUNDUP(MAX(0,($A66*Calculateur!$B$56+$A66*H$65*Calculateur!$B$57)-Hypotheses!$B$97)/Hypotheses!$B$99,0))*Hypotheses!$B$101)*12)-Hypotheses!$A$58)*Hypotheses!$B$59)*(1+Hypotheses!$B$60)*(1-Hypotheses!$B$61)/12)-MAX(0,(($A66*H$65*Calculateur!$B$54-Calculateur!$B$58-IF(Hypotheses!$B$100="proportionnel",MAX(0,($A66*Calculateur!$B$56+$A66*H$65*Calculateur!$B$57)-Hypotheses!$B$97)/Hypotheses!$B$99,ROUNDUP(MAX(0,($A66*Calculateur!$B$56+$A66*H$65*Calculateur!$B$57)-Hypotheses!$B$97)/Hypotheses!$B$99,0))*Hypotheses!$B$101)-(MIN(MAX(0,($A66*H$65*Calculateur!$B$54-Calculateur!$B$58-IF(Hypotheses!$B$100="proportionnel",MAX(0,($A66*Calculateur!$B$56+$A66*H$65*Calculateur!$B$57)-Hypotheses!$B$97)/Hypotheses!$B$99,ROUNDUP(MAX(0,($A66*Calculateur!$B$56+$A66*H$65*Calculateur!$B$57)-Hypotheses!$B$97)/Hypotheses!$B$99,0))*Hypotheses!$B$101)*12),Hypotheses!$A$56)*Hypotheses!$B$56+MAX(0,MIN(MAX(0,($A66*H$65*Calculateur!$B$54-Calculateur!$B$58-IF(Hypotheses!$B$100="proportionnel",MAX(0,($A66*Calculateur!$B$56+$A66*H$65*Calculateur!$B$57)-Hypotheses!$B$97)/Hypotheses!$B$99,ROUNDUP(MAX(0,($A66*Calculateur!$B$56+$A66*H$65*Calculateur!$B$57)-Hypotheses!$B$97)/Hypotheses!$B$99,0))*Hypotheses!$B$101)*12),Hypotheses!$A$57)-Hypotheses!$A$56)*Hypotheses!$B$57+MAX(0,MIN(MAX(0,($A66*H$65*Calculateur!$B$54-Calculateur!$B$58-IF(Hypotheses!$B$100="proportionnel",MAX(0,($A66*Calculateur!$B$56+$A66*H$65*Calculateur!$B$57)-Hypotheses!$B$97)/Hypotheses!$B$99,ROUNDUP(MAX(0,($A66*Calculateur!$B$56+$A66*H$65*Calculateur!$B$57)-Hypotheses!$B$97)/Hypotheses!$B$99,0))*Hypotheses!$B$101)*12),Hypotheses!$A$58)-Hypotheses!$A$57)*Hypotheses!$B$58+MAX(0,MAX(0,($A66*H$65*Calculateur!$B$54-Calculateur!$B$58-IF(Hypotheses!$B$100="proportionnel",MAX(0,($A66*Calculateur!$B$56+$A66*H$65*Calculateur!$B$57)-Hypotheses!$B$97)/Hypotheses!$B$99,ROUNDUP(MAX(0,($A66*Calculateur!$B$56+$A66*H$65*Calculateur!$B$57)-Hypotheses!$B$97)/Hypotheses!$B$99,0))*Hypotheses!$B$101)*12)-Hypotheses!$A$58)*Hypotheses!$B$59)*(1+Hypotheses!$B$60)*(1-Hypotheses!$B$61)/12))*Hypotheses!$B$65</f>
        <v/>
      </c>
      <c r="I66" s="21">
        <f>(($A66*I$65*Calculateur!$B$54-Calculateur!$B$58-IF(Hypotheses!$B$100="proportionnel",MAX(0,($A66*Calculateur!$B$56+$A66*I$65*Calculateur!$B$57)-Hypotheses!$B$97)/Hypotheses!$B$99,ROUNDUP(MAX(0,($A66*Calculateur!$B$56+$A66*I$65*Calculateur!$B$57)-Hypotheses!$B$97)/Hypotheses!$B$99,0))*Hypotheses!$B$101)-(MIN(MAX(0,($A66*I$65*Calculateur!$B$54-Calculateur!$B$58-IF(Hypotheses!$B$100="proportionnel",MAX(0,($A66*Calculateur!$B$56+$A66*I$65*Calculateur!$B$57)-Hypotheses!$B$97)/Hypotheses!$B$99,ROUNDUP(MAX(0,($A66*Calculateur!$B$56+$A66*I$65*Calculateur!$B$57)-Hypotheses!$B$97)/Hypotheses!$B$99,0))*Hypotheses!$B$101)*12),Hypotheses!$A$56)*Hypotheses!$B$56+MAX(0,MIN(MAX(0,($A66*I$65*Calculateur!$B$54-Calculateur!$B$58-IF(Hypotheses!$B$100="proportionnel",MAX(0,($A66*Calculateur!$B$56+$A66*I$65*Calculateur!$B$57)-Hypotheses!$B$97)/Hypotheses!$B$99,ROUNDUP(MAX(0,($A66*Calculateur!$B$56+$A66*I$65*Calculateur!$B$57)-Hypotheses!$B$97)/Hypotheses!$B$99,0))*Hypotheses!$B$101)*12),Hypotheses!$A$57)-Hypotheses!$A$56)*Hypotheses!$B$57+MAX(0,MIN(MAX(0,($A66*I$65*Calculateur!$B$54-Calculateur!$B$58-IF(Hypotheses!$B$100="proportionnel",MAX(0,($A66*Calculateur!$B$56+$A66*I$65*Calculateur!$B$57)-Hypotheses!$B$97)/Hypotheses!$B$99,ROUNDUP(MAX(0,($A66*Calculateur!$B$56+$A66*I$65*Calculateur!$B$57)-Hypotheses!$B$97)/Hypotheses!$B$99,0))*Hypotheses!$B$101)*12),Hypotheses!$A$58)-Hypotheses!$A$57)*Hypotheses!$B$58+MAX(0,MAX(0,($A66*I$65*Calculateur!$B$54-Calculateur!$B$58-IF(Hypotheses!$B$100="proportionnel",MAX(0,($A66*Calculateur!$B$56+$A66*I$65*Calculateur!$B$57)-Hypotheses!$B$97)/Hypotheses!$B$99,ROUNDUP(MAX(0,($A66*Calculateur!$B$56+$A66*I$65*Calculateur!$B$57)-Hypotheses!$B$97)/Hypotheses!$B$99,0))*Hypotheses!$B$101)*12)-Hypotheses!$A$58)*Hypotheses!$B$59)*(1+Hypotheses!$B$60)*(1-Hypotheses!$B$61)/12)-MAX(0,(($A66*I$65*Calculateur!$B$54-Calculateur!$B$58-IF(Hypotheses!$B$100="proportionnel",MAX(0,($A66*Calculateur!$B$56+$A66*I$65*Calculateur!$B$57)-Hypotheses!$B$97)/Hypotheses!$B$99,ROUNDUP(MAX(0,($A66*Calculateur!$B$56+$A66*I$65*Calculateur!$B$57)-Hypotheses!$B$97)/Hypotheses!$B$99,0))*Hypotheses!$B$101)-(MIN(MAX(0,($A66*I$65*Calculateur!$B$54-Calculateur!$B$58-IF(Hypotheses!$B$100="proportionnel",MAX(0,($A66*Calculateur!$B$56+$A66*I$65*Calculateur!$B$57)-Hypotheses!$B$97)/Hypotheses!$B$99,ROUNDUP(MAX(0,($A66*Calculateur!$B$56+$A66*I$65*Calculateur!$B$57)-Hypotheses!$B$97)/Hypotheses!$B$99,0))*Hypotheses!$B$101)*12),Hypotheses!$A$56)*Hypotheses!$B$56+MAX(0,MIN(MAX(0,($A66*I$65*Calculateur!$B$54-Calculateur!$B$58-IF(Hypotheses!$B$100="proportionnel",MAX(0,($A66*Calculateur!$B$56+$A66*I$65*Calculateur!$B$57)-Hypotheses!$B$97)/Hypotheses!$B$99,ROUNDUP(MAX(0,($A66*Calculateur!$B$56+$A66*I$65*Calculateur!$B$57)-Hypotheses!$B$97)/Hypotheses!$B$99,0))*Hypotheses!$B$101)*12),Hypotheses!$A$57)-Hypotheses!$A$56)*Hypotheses!$B$57+MAX(0,MIN(MAX(0,($A66*I$65*Calculateur!$B$54-Calculateur!$B$58-IF(Hypotheses!$B$100="proportionnel",MAX(0,($A66*Calculateur!$B$56+$A66*I$65*Calculateur!$B$57)-Hypotheses!$B$97)/Hypotheses!$B$99,ROUNDUP(MAX(0,($A66*Calculateur!$B$56+$A66*I$65*Calculateur!$B$57)-Hypotheses!$B$97)/Hypotheses!$B$99,0))*Hypotheses!$B$101)*12),Hypotheses!$A$58)-Hypotheses!$A$57)*Hypotheses!$B$58+MAX(0,MAX(0,($A66*I$65*Calculateur!$B$54-Calculateur!$B$58-IF(Hypotheses!$B$100="proportionnel",MAX(0,($A66*Calculateur!$B$56+$A66*I$65*Calculateur!$B$57)-Hypotheses!$B$97)/Hypotheses!$B$99,ROUNDUP(MAX(0,($A66*Calculateur!$B$56+$A66*I$65*Calculateur!$B$57)-Hypotheses!$B$97)/Hypotheses!$B$99,0))*Hypotheses!$B$101)*12)-Hypotheses!$A$58)*Hypotheses!$B$59)*(1+Hypotheses!$B$60)*(1-Hypotheses!$B$61)/12))*Hypotheses!$B$65</f>
        <v/>
      </c>
    </row>
    <row r="67">
      <c r="A67" s="36" t="n">
        <v>10</v>
      </c>
      <c r="B67" s="21">
        <f>(($A67*B$65*Calculateur!$B$54-Calculateur!$B$58-IF(Hypotheses!$B$100="proportionnel",MAX(0,($A67*Calculateur!$B$56+$A67*B$65*Calculateur!$B$57)-Hypotheses!$B$97)/Hypotheses!$B$99,ROUNDUP(MAX(0,($A67*Calculateur!$B$56+$A67*B$65*Calculateur!$B$57)-Hypotheses!$B$97)/Hypotheses!$B$99,0))*Hypotheses!$B$101)-(MIN(MAX(0,($A67*B$65*Calculateur!$B$54-Calculateur!$B$58-IF(Hypotheses!$B$100="proportionnel",MAX(0,($A67*Calculateur!$B$56+$A67*B$65*Calculateur!$B$57)-Hypotheses!$B$97)/Hypotheses!$B$99,ROUNDUP(MAX(0,($A67*Calculateur!$B$56+$A67*B$65*Calculateur!$B$57)-Hypotheses!$B$97)/Hypotheses!$B$99,0))*Hypotheses!$B$101)*12),Hypotheses!$A$56)*Hypotheses!$B$56+MAX(0,MIN(MAX(0,($A67*B$65*Calculateur!$B$54-Calculateur!$B$58-IF(Hypotheses!$B$100="proportionnel",MAX(0,($A67*Calculateur!$B$56+$A67*B$65*Calculateur!$B$57)-Hypotheses!$B$97)/Hypotheses!$B$99,ROUNDUP(MAX(0,($A67*Calculateur!$B$56+$A67*B$65*Calculateur!$B$57)-Hypotheses!$B$97)/Hypotheses!$B$99,0))*Hypotheses!$B$101)*12),Hypotheses!$A$57)-Hypotheses!$A$56)*Hypotheses!$B$57+MAX(0,MIN(MAX(0,($A67*B$65*Calculateur!$B$54-Calculateur!$B$58-IF(Hypotheses!$B$100="proportionnel",MAX(0,($A67*Calculateur!$B$56+$A67*B$65*Calculateur!$B$57)-Hypotheses!$B$97)/Hypotheses!$B$99,ROUNDUP(MAX(0,($A67*Calculateur!$B$56+$A67*B$65*Calculateur!$B$57)-Hypotheses!$B$97)/Hypotheses!$B$99,0))*Hypotheses!$B$101)*12),Hypotheses!$A$58)-Hypotheses!$A$57)*Hypotheses!$B$58+MAX(0,MAX(0,($A67*B$65*Calculateur!$B$54-Calculateur!$B$58-IF(Hypotheses!$B$100="proportionnel",MAX(0,($A67*Calculateur!$B$56+$A67*B$65*Calculateur!$B$57)-Hypotheses!$B$97)/Hypotheses!$B$99,ROUNDUP(MAX(0,($A67*Calculateur!$B$56+$A67*B$65*Calculateur!$B$57)-Hypotheses!$B$97)/Hypotheses!$B$99,0))*Hypotheses!$B$101)*12)-Hypotheses!$A$58)*Hypotheses!$B$59)*(1+Hypotheses!$B$60)*(1-Hypotheses!$B$61)/12)-MAX(0,(($A67*B$65*Calculateur!$B$54-Calculateur!$B$58-IF(Hypotheses!$B$100="proportionnel",MAX(0,($A67*Calculateur!$B$56+$A67*B$65*Calculateur!$B$57)-Hypotheses!$B$97)/Hypotheses!$B$99,ROUNDUP(MAX(0,($A67*Calculateur!$B$56+$A67*B$65*Calculateur!$B$57)-Hypotheses!$B$97)/Hypotheses!$B$99,0))*Hypotheses!$B$101)-(MIN(MAX(0,($A67*B$65*Calculateur!$B$54-Calculateur!$B$58-IF(Hypotheses!$B$100="proportionnel",MAX(0,($A67*Calculateur!$B$56+$A67*B$65*Calculateur!$B$57)-Hypotheses!$B$97)/Hypotheses!$B$99,ROUNDUP(MAX(0,($A67*Calculateur!$B$56+$A67*B$65*Calculateur!$B$57)-Hypotheses!$B$97)/Hypotheses!$B$99,0))*Hypotheses!$B$101)*12),Hypotheses!$A$56)*Hypotheses!$B$56+MAX(0,MIN(MAX(0,($A67*B$65*Calculateur!$B$54-Calculateur!$B$58-IF(Hypotheses!$B$100="proportionnel",MAX(0,($A67*Calculateur!$B$56+$A67*B$65*Calculateur!$B$57)-Hypotheses!$B$97)/Hypotheses!$B$99,ROUNDUP(MAX(0,($A67*Calculateur!$B$56+$A67*B$65*Calculateur!$B$57)-Hypotheses!$B$97)/Hypotheses!$B$99,0))*Hypotheses!$B$101)*12),Hypotheses!$A$57)-Hypotheses!$A$56)*Hypotheses!$B$57+MAX(0,MIN(MAX(0,($A67*B$65*Calculateur!$B$54-Calculateur!$B$58-IF(Hypotheses!$B$100="proportionnel",MAX(0,($A67*Calculateur!$B$56+$A67*B$65*Calculateur!$B$57)-Hypotheses!$B$97)/Hypotheses!$B$99,ROUNDUP(MAX(0,($A67*Calculateur!$B$56+$A67*B$65*Calculateur!$B$57)-Hypotheses!$B$97)/Hypotheses!$B$99,0))*Hypotheses!$B$101)*12),Hypotheses!$A$58)-Hypotheses!$A$57)*Hypotheses!$B$58+MAX(0,MAX(0,($A67*B$65*Calculateur!$B$54-Calculateur!$B$58-IF(Hypotheses!$B$100="proportionnel",MAX(0,($A67*Calculateur!$B$56+$A67*B$65*Calculateur!$B$57)-Hypotheses!$B$97)/Hypotheses!$B$99,ROUNDUP(MAX(0,($A67*Calculateur!$B$56+$A67*B$65*Calculateur!$B$57)-Hypotheses!$B$97)/Hypotheses!$B$99,0))*Hypotheses!$B$101)*12)-Hypotheses!$A$58)*Hypotheses!$B$59)*(1+Hypotheses!$B$60)*(1-Hypotheses!$B$61)/12))*Hypotheses!$B$65</f>
        <v/>
      </c>
      <c r="C67" s="21">
        <f>(($A67*C$65*Calculateur!$B$54-Calculateur!$B$58-IF(Hypotheses!$B$100="proportionnel",MAX(0,($A67*Calculateur!$B$56+$A67*C$65*Calculateur!$B$57)-Hypotheses!$B$97)/Hypotheses!$B$99,ROUNDUP(MAX(0,($A67*Calculateur!$B$56+$A67*C$65*Calculateur!$B$57)-Hypotheses!$B$97)/Hypotheses!$B$99,0))*Hypotheses!$B$101)-(MIN(MAX(0,($A67*C$65*Calculateur!$B$54-Calculateur!$B$58-IF(Hypotheses!$B$100="proportionnel",MAX(0,($A67*Calculateur!$B$56+$A67*C$65*Calculateur!$B$57)-Hypotheses!$B$97)/Hypotheses!$B$99,ROUNDUP(MAX(0,($A67*Calculateur!$B$56+$A67*C$65*Calculateur!$B$57)-Hypotheses!$B$97)/Hypotheses!$B$99,0))*Hypotheses!$B$101)*12),Hypotheses!$A$56)*Hypotheses!$B$56+MAX(0,MIN(MAX(0,($A67*C$65*Calculateur!$B$54-Calculateur!$B$58-IF(Hypotheses!$B$100="proportionnel",MAX(0,($A67*Calculateur!$B$56+$A67*C$65*Calculateur!$B$57)-Hypotheses!$B$97)/Hypotheses!$B$99,ROUNDUP(MAX(0,($A67*Calculateur!$B$56+$A67*C$65*Calculateur!$B$57)-Hypotheses!$B$97)/Hypotheses!$B$99,0))*Hypotheses!$B$101)*12),Hypotheses!$A$57)-Hypotheses!$A$56)*Hypotheses!$B$57+MAX(0,MIN(MAX(0,($A67*C$65*Calculateur!$B$54-Calculateur!$B$58-IF(Hypotheses!$B$100="proportionnel",MAX(0,($A67*Calculateur!$B$56+$A67*C$65*Calculateur!$B$57)-Hypotheses!$B$97)/Hypotheses!$B$99,ROUNDUP(MAX(0,($A67*Calculateur!$B$56+$A67*C$65*Calculateur!$B$57)-Hypotheses!$B$97)/Hypotheses!$B$99,0))*Hypotheses!$B$101)*12),Hypotheses!$A$58)-Hypotheses!$A$57)*Hypotheses!$B$58+MAX(0,MAX(0,($A67*C$65*Calculateur!$B$54-Calculateur!$B$58-IF(Hypotheses!$B$100="proportionnel",MAX(0,($A67*Calculateur!$B$56+$A67*C$65*Calculateur!$B$57)-Hypotheses!$B$97)/Hypotheses!$B$99,ROUNDUP(MAX(0,($A67*Calculateur!$B$56+$A67*C$65*Calculateur!$B$57)-Hypotheses!$B$97)/Hypotheses!$B$99,0))*Hypotheses!$B$101)*12)-Hypotheses!$A$58)*Hypotheses!$B$59)*(1+Hypotheses!$B$60)*(1-Hypotheses!$B$61)/12)-MAX(0,(($A67*C$65*Calculateur!$B$54-Calculateur!$B$58-IF(Hypotheses!$B$100="proportionnel",MAX(0,($A67*Calculateur!$B$56+$A67*C$65*Calculateur!$B$57)-Hypotheses!$B$97)/Hypotheses!$B$99,ROUNDUP(MAX(0,($A67*Calculateur!$B$56+$A67*C$65*Calculateur!$B$57)-Hypotheses!$B$97)/Hypotheses!$B$99,0))*Hypotheses!$B$101)-(MIN(MAX(0,($A67*C$65*Calculateur!$B$54-Calculateur!$B$58-IF(Hypotheses!$B$100="proportionnel",MAX(0,($A67*Calculateur!$B$56+$A67*C$65*Calculateur!$B$57)-Hypotheses!$B$97)/Hypotheses!$B$99,ROUNDUP(MAX(0,($A67*Calculateur!$B$56+$A67*C$65*Calculateur!$B$57)-Hypotheses!$B$97)/Hypotheses!$B$99,0))*Hypotheses!$B$101)*12),Hypotheses!$A$56)*Hypotheses!$B$56+MAX(0,MIN(MAX(0,($A67*C$65*Calculateur!$B$54-Calculateur!$B$58-IF(Hypotheses!$B$100="proportionnel",MAX(0,($A67*Calculateur!$B$56+$A67*C$65*Calculateur!$B$57)-Hypotheses!$B$97)/Hypotheses!$B$99,ROUNDUP(MAX(0,($A67*Calculateur!$B$56+$A67*C$65*Calculateur!$B$57)-Hypotheses!$B$97)/Hypotheses!$B$99,0))*Hypotheses!$B$101)*12),Hypotheses!$A$57)-Hypotheses!$A$56)*Hypotheses!$B$57+MAX(0,MIN(MAX(0,($A67*C$65*Calculateur!$B$54-Calculateur!$B$58-IF(Hypotheses!$B$100="proportionnel",MAX(0,($A67*Calculateur!$B$56+$A67*C$65*Calculateur!$B$57)-Hypotheses!$B$97)/Hypotheses!$B$99,ROUNDUP(MAX(0,($A67*Calculateur!$B$56+$A67*C$65*Calculateur!$B$57)-Hypotheses!$B$97)/Hypotheses!$B$99,0))*Hypotheses!$B$101)*12),Hypotheses!$A$58)-Hypotheses!$A$57)*Hypotheses!$B$58+MAX(0,MAX(0,($A67*C$65*Calculateur!$B$54-Calculateur!$B$58-IF(Hypotheses!$B$100="proportionnel",MAX(0,($A67*Calculateur!$B$56+$A67*C$65*Calculateur!$B$57)-Hypotheses!$B$97)/Hypotheses!$B$99,ROUNDUP(MAX(0,($A67*Calculateur!$B$56+$A67*C$65*Calculateur!$B$57)-Hypotheses!$B$97)/Hypotheses!$B$99,0))*Hypotheses!$B$101)*12)-Hypotheses!$A$58)*Hypotheses!$B$59)*(1+Hypotheses!$B$60)*(1-Hypotheses!$B$61)/12))*Hypotheses!$B$65</f>
        <v/>
      </c>
      <c r="D67" s="21">
        <f>(($A67*D$65*Calculateur!$B$54-Calculateur!$B$58-IF(Hypotheses!$B$100="proportionnel",MAX(0,($A67*Calculateur!$B$56+$A67*D$65*Calculateur!$B$57)-Hypotheses!$B$97)/Hypotheses!$B$99,ROUNDUP(MAX(0,($A67*Calculateur!$B$56+$A67*D$65*Calculateur!$B$57)-Hypotheses!$B$97)/Hypotheses!$B$99,0))*Hypotheses!$B$101)-(MIN(MAX(0,($A67*D$65*Calculateur!$B$54-Calculateur!$B$58-IF(Hypotheses!$B$100="proportionnel",MAX(0,($A67*Calculateur!$B$56+$A67*D$65*Calculateur!$B$57)-Hypotheses!$B$97)/Hypotheses!$B$99,ROUNDUP(MAX(0,($A67*Calculateur!$B$56+$A67*D$65*Calculateur!$B$57)-Hypotheses!$B$97)/Hypotheses!$B$99,0))*Hypotheses!$B$101)*12),Hypotheses!$A$56)*Hypotheses!$B$56+MAX(0,MIN(MAX(0,($A67*D$65*Calculateur!$B$54-Calculateur!$B$58-IF(Hypotheses!$B$100="proportionnel",MAX(0,($A67*Calculateur!$B$56+$A67*D$65*Calculateur!$B$57)-Hypotheses!$B$97)/Hypotheses!$B$99,ROUNDUP(MAX(0,($A67*Calculateur!$B$56+$A67*D$65*Calculateur!$B$57)-Hypotheses!$B$97)/Hypotheses!$B$99,0))*Hypotheses!$B$101)*12),Hypotheses!$A$57)-Hypotheses!$A$56)*Hypotheses!$B$57+MAX(0,MIN(MAX(0,($A67*D$65*Calculateur!$B$54-Calculateur!$B$58-IF(Hypotheses!$B$100="proportionnel",MAX(0,($A67*Calculateur!$B$56+$A67*D$65*Calculateur!$B$57)-Hypotheses!$B$97)/Hypotheses!$B$99,ROUNDUP(MAX(0,($A67*Calculateur!$B$56+$A67*D$65*Calculateur!$B$57)-Hypotheses!$B$97)/Hypotheses!$B$99,0))*Hypotheses!$B$101)*12),Hypotheses!$A$58)-Hypotheses!$A$57)*Hypotheses!$B$58+MAX(0,MAX(0,($A67*D$65*Calculateur!$B$54-Calculateur!$B$58-IF(Hypotheses!$B$100="proportionnel",MAX(0,($A67*Calculateur!$B$56+$A67*D$65*Calculateur!$B$57)-Hypotheses!$B$97)/Hypotheses!$B$99,ROUNDUP(MAX(0,($A67*Calculateur!$B$56+$A67*D$65*Calculateur!$B$57)-Hypotheses!$B$97)/Hypotheses!$B$99,0))*Hypotheses!$B$101)*12)-Hypotheses!$A$58)*Hypotheses!$B$59)*(1+Hypotheses!$B$60)*(1-Hypotheses!$B$61)/12)-MAX(0,(($A67*D$65*Calculateur!$B$54-Calculateur!$B$58-IF(Hypotheses!$B$100="proportionnel",MAX(0,($A67*Calculateur!$B$56+$A67*D$65*Calculateur!$B$57)-Hypotheses!$B$97)/Hypotheses!$B$99,ROUNDUP(MAX(0,($A67*Calculateur!$B$56+$A67*D$65*Calculateur!$B$57)-Hypotheses!$B$97)/Hypotheses!$B$99,0))*Hypotheses!$B$101)-(MIN(MAX(0,($A67*D$65*Calculateur!$B$54-Calculateur!$B$58-IF(Hypotheses!$B$100="proportionnel",MAX(0,($A67*Calculateur!$B$56+$A67*D$65*Calculateur!$B$57)-Hypotheses!$B$97)/Hypotheses!$B$99,ROUNDUP(MAX(0,($A67*Calculateur!$B$56+$A67*D$65*Calculateur!$B$57)-Hypotheses!$B$97)/Hypotheses!$B$99,0))*Hypotheses!$B$101)*12),Hypotheses!$A$56)*Hypotheses!$B$56+MAX(0,MIN(MAX(0,($A67*D$65*Calculateur!$B$54-Calculateur!$B$58-IF(Hypotheses!$B$100="proportionnel",MAX(0,($A67*Calculateur!$B$56+$A67*D$65*Calculateur!$B$57)-Hypotheses!$B$97)/Hypotheses!$B$99,ROUNDUP(MAX(0,($A67*Calculateur!$B$56+$A67*D$65*Calculateur!$B$57)-Hypotheses!$B$97)/Hypotheses!$B$99,0))*Hypotheses!$B$101)*12),Hypotheses!$A$57)-Hypotheses!$A$56)*Hypotheses!$B$57+MAX(0,MIN(MAX(0,($A67*D$65*Calculateur!$B$54-Calculateur!$B$58-IF(Hypotheses!$B$100="proportionnel",MAX(0,($A67*Calculateur!$B$56+$A67*D$65*Calculateur!$B$57)-Hypotheses!$B$97)/Hypotheses!$B$99,ROUNDUP(MAX(0,($A67*Calculateur!$B$56+$A67*D$65*Calculateur!$B$57)-Hypotheses!$B$97)/Hypotheses!$B$99,0))*Hypotheses!$B$101)*12),Hypotheses!$A$58)-Hypotheses!$A$57)*Hypotheses!$B$58+MAX(0,MAX(0,($A67*D$65*Calculateur!$B$54-Calculateur!$B$58-IF(Hypotheses!$B$100="proportionnel",MAX(0,($A67*Calculateur!$B$56+$A67*D$65*Calculateur!$B$57)-Hypotheses!$B$97)/Hypotheses!$B$99,ROUNDUP(MAX(0,($A67*Calculateur!$B$56+$A67*D$65*Calculateur!$B$57)-Hypotheses!$B$97)/Hypotheses!$B$99,0))*Hypotheses!$B$101)*12)-Hypotheses!$A$58)*Hypotheses!$B$59)*(1+Hypotheses!$B$60)*(1-Hypotheses!$B$61)/12))*Hypotheses!$B$65</f>
        <v/>
      </c>
      <c r="E67" s="21">
        <f>(($A67*E$65*Calculateur!$B$54-Calculateur!$B$58-IF(Hypotheses!$B$100="proportionnel",MAX(0,($A67*Calculateur!$B$56+$A67*E$65*Calculateur!$B$57)-Hypotheses!$B$97)/Hypotheses!$B$99,ROUNDUP(MAX(0,($A67*Calculateur!$B$56+$A67*E$65*Calculateur!$B$57)-Hypotheses!$B$97)/Hypotheses!$B$99,0))*Hypotheses!$B$101)-(MIN(MAX(0,($A67*E$65*Calculateur!$B$54-Calculateur!$B$58-IF(Hypotheses!$B$100="proportionnel",MAX(0,($A67*Calculateur!$B$56+$A67*E$65*Calculateur!$B$57)-Hypotheses!$B$97)/Hypotheses!$B$99,ROUNDUP(MAX(0,($A67*Calculateur!$B$56+$A67*E$65*Calculateur!$B$57)-Hypotheses!$B$97)/Hypotheses!$B$99,0))*Hypotheses!$B$101)*12),Hypotheses!$A$56)*Hypotheses!$B$56+MAX(0,MIN(MAX(0,($A67*E$65*Calculateur!$B$54-Calculateur!$B$58-IF(Hypotheses!$B$100="proportionnel",MAX(0,($A67*Calculateur!$B$56+$A67*E$65*Calculateur!$B$57)-Hypotheses!$B$97)/Hypotheses!$B$99,ROUNDUP(MAX(0,($A67*Calculateur!$B$56+$A67*E$65*Calculateur!$B$57)-Hypotheses!$B$97)/Hypotheses!$B$99,0))*Hypotheses!$B$101)*12),Hypotheses!$A$57)-Hypotheses!$A$56)*Hypotheses!$B$57+MAX(0,MIN(MAX(0,($A67*E$65*Calculateur!$B$54-Calculateur!$B$58-IF(Hypotheses!$B$100="proportionnel",MAX(0,($A67*Calculateur!$B$56+$A67*E$65*Calculateur!$B$57)-Hypotheses!$B$97)/Hypotheses!$B$99,ROUNDUP(MAX(0,($A67*Calculateur!$B$56+$A67*E$65*Calculateur!$B$57)-Hypotheses!$B$97)/Hypotheses!$B$99,0))*Hypotheses!$B$101)*12),Hypotheses!$A$58)-Hypotheses!$A$57)*Hypotheses!$B$58+MAX(0,MAX(0,($A67*E$65*Calculateur!$B$54-Calculateur!$B$58-IF(Hypotheses!$B$100="proportionnel",MAX(0,($A67*Calculateur!$B$56+$A67*E$65*Calculateur!$B$57)-Hypotheses!$B$97)/Hypotheses!$B$99,ROUNDUP(MAX(0,($A67*Calculateur!$B$56+$A67*E$65*Calculateur!$B$57)-Hypotheses!$B$97)/Hypotheses!$B$99,0))*Hypotheses!$B$101)*12)-Hypotheses!$A$58)*Hypotheses!$B$59)*(1+Hypotheses!$B$60)*(1-Hypotheses!$B$61)/12)-MAX(0,(($A67*E$65*Calculateur!$B$54-Calculateur!$B$58-IF(Hypotheses!$B$100="proportionnel",MAX(0,($A67*Calculateur!$B$56+$A67*E$65*Calculateur!$B$57)-Hypotheses!$B$97)/Hypotheses!$B$99,ROUNDUP(MAX(0,($A67*Calculateur!$B$56+$A67*E$65*Calculateur!$B$57)-Hypotheses!$B$97)/Hypotheses!$B$99,0))*Hypotheses!$B$101)-(MIN(MAX(0,($A67*E$65*Calculateur!$B$54-Calculateur!$B$58-IF(Hypotheses!$B$100="proportionnel",MAX(0,($A67*Calculateur!$B$56+$A67*E$65*Calculateur!$B$57)-Hypotheses!$B$97)/Hypotheses!$B$99,ROUNDUP(MAX(0,($A67*Calculateur!$B$56+$A67*E$65*Calculateur!$B$57)-Hypotheses!$B$97)/Hypotheses!$B$99,0))*Hypotheses!$B$101)*12),Hypotheses!$A$56)*Hypotheses!$B$56+MAX(0,MIN(MAX(0,($A67*E$65*Calculateur!$B$54-Calculateur!$B$58-IF(Hypotheses!$B$100="proportionnel",MAX(0,($A67*Calculateur!$B$56+$A67*E$65*Calculateur!$B$57)-Hypotheses!$B$97)/Hypotheses!$B$99,ROUNDUP(MAX(0,($A67*Calculateur!$B$56+$A67*E$65*Calculateur!$B$57)-Hypotheses!$B$97)/Hypotheses!$B$99,0))*Hypotheses!$B$101)*12),Hypotheses!$A$57)-Hypotheses!$A$56)*Hypotheses!$B$57+MAX(0,MIN(MAX(0,($A67*E$65*Calculateur!$B$54-Calculateur!$B$58-IF(Hypotheses!$B$100="proportionnel",MAX(0,($A67*Calculateur!$B$56+$A67*E$65*Calculateur!$B$57)-Hypotheses!$B$97)/Hypotheses!$B$99,ROUNDUP(MAX(0,($A67*Calculateur!$B$56+$A67*E$65*Calculateur!$B$57)-Hypotheses!$B$97)/Hypotheses!$B$99,0))*Hypotheses!$B$101)*12),Hypotheses!$A$58)-Hypotheses!$A$57)*Hypotheses!$B$58+MAX(0,MAX(0,($A67*E$65*Calculateur!$B$54-Calculateur!$B$58-IF(Hypotheses!$B$100="proportionnel",MAX(0,($A67*Calculateur!$B$56+$A67*E$65*Calculateur!$B$57)-Hypotheses!$B$97)/Hypotheses!$B$99,ROUNDUP(MAX(0,($A67*Calculateur!$B$56+$A67*E$65*Calculateur!$B$57)-Hypotheses!$B$97)/Hypotheses!$B$99,0))*Hypotheses!$B$101)*12)-Hypotheses!$A$58)*Hypotheses!$B$59)*(1+Hypotheses!$B$60)*(1-Hypotheses!$B$61)/12))*Hypotheses!$B$65</f>
        <v/>
      </c>
      <c r="F67" s="21">
        <f>(($A67*F$65*Calculateur!$B$54-Calculateur!$B$58-IF(Hypotheses!$B$100="proportionnel",MAX(0,($A67*Calculateur!$B$56+$A67*F$65*Calculateur!$B$57)-Hypotheses!$B$97)/Hypotheses!$B$99,ROUNDUP(MAX(0,($A67*Calculateur!$B$56+$A67*F$65*Calculateur!$B$57)-Hypotheses!$B$97)/Hypotheses!$B$99,0))*Hypotheses!$B$101)-(MIN(MAX(0,($A67*F$65*Calculateur!$B$54-Calculateur!$B$58-IF(Hypotheses!$B$100="proportionnel",MAX(0,($A67*Calculateur!$B$56+$A67*F$65*Calculateur!$B$57)-Hypotheses!$B$97)/Hypotheses!$B$99,ROUNDUP(MAX(0,($A67*Calculateur!$B$56+$A67*F$65*Calculateur!$B$57)-Hypotheses!$B$97)/Hypotheses!$B$99,0))*Hypotheses!$B$101)*12),Hypotheses!$A$56)*Hypotheses!$B$56+MAX(0,MIN(MAX(0,($A67*F$65*Calculateur!$B$54-Calculateur!$B$58-IF(Hypotheses!$B$100="proportionnel",MAX(0,($A67*Calculateur!$B$56+$A67*F$65*Calculateur!$B$57)-Hypotheses!$B$97)/Hypotheses!$B$99,ROUNDUP(MAX(0,($A67*Calculateur!$B$56+$A67*F$65*Calculateur!$B$57)-Hypotheses!$B$97)/Hypotheses!$B$99,0))*Hypotheses!$B$101)*12),Hypotheses!$A$57)-Hypotheses!$A$56)*Hypotheses!$B$57+MAX(0,MIN(MAX(0,($A67*F$65*Calculateur!$B$54-Calculateur!$B$58-IF(Hypotheses!$B$100="proportionnel",MAX(0,($A67*Calculateur!$B$56+$A67*F$65*Calculateur!$B$57)-Hypotheses!$B$97)/Hypotheses!$B$99,ROUNDUP(MAX(0,($A67*Calculateur!$B$56+$A67*F$65*Calculateur!$B$57)-Hypotheses!$B$97)/Hypotheses!$B$99,0))*Hypotheses!$B$101)*12),Hypotheses!$A$58)-Hypotheses!$A$57)*Hypotheses!$B$58+MAX(0,MAX(0,($A67*F$65*Calculateur!$B$54-Calculateur!$B$58-IF(Hypotheses!$B$100="proportionnel",MAX(0,($A67*Calculateur!$B$56+$A67*F$65*Calculateur!$B$57)-Hypotheses!$B$97)/Hypotheses!$B$99,ROUNDUP(MAX(0,($A67*Calculateur!$B$56+$A67*F$65*Calculateur!$B$57)-Hypotheses!$B$97)/Hypotheses!$B$99,0))*Hypotheses!$B$101)*12)-Hypotheses!$A$58)*Hypotheses!$B$59)*(1+Hypotheses!$B$60)*(1-Hypotheses!$B$61)/12)-MAX(0,(($A67*F$65*Calculateur!$B$54-Calculateur!$B$58-IF(Hypotheses!$B$100="proportionnel",MAX(0,($A67*Calculateur!$B$56+$A67*F$65*Calculateur!$B$57)-Hypotheses!$B$97)/Hypotheses!$B$99,ROUNDUP(MAX(0,($A67*Calculateur!$B$56+$A67*F$65*Calculateur!$B$57)-Hypotheses!$B$97)/Hypotheses!$B$99,0))*Hypotheses!$B$101)-(MIN(MAX(0,($A67*F$65*Calculateur!$B$54-Calculateur!$B$58-IF(Hypotheses!$B$100="proportionnel",MAX(0,($A67*Calculateur!$B$56+$A67*F$65*Calculateur!$B$57)-Hypotheses!$B$97)/Hypotheses!$B$99,ROUNDUP(MAX(0,($A67*Calculateur!$B$56+$A67*F$65*Calculateur!$B$57)-Hypotheses!$B$97)/Hypotheses!$B$99,0))*Hypotheses!$B$101)*12),Hypotheses!$A$56)*Hypotheses!$B$56+MAX(0,MIN(MAX(0,($A67*F$65*Calculateur!$B$54-Calculateur!$B$58-IF(Hypotheses!$B$100="proportionnel",MAX(0,($A67*Calculateur!$B$56+$A67*F$65*Calculateur!$B$57)-Hypotheses!$B$97)/Hypotheses!$B$99,ROUNDUP(MAX(0,($A67*Calculateur!$B$56+$A67*F$65*Calculateur!$B$57)-Hypotheses!$B$97)/Hypotheses!$B$99,0))*Hypotheses!$B$101)*12),Hypotheses!$A$57)-Hypotheses!$A$56)*Hypotheses!$B$57+MAX(0,MIN(MAX(0,($A67*F$65*Calculateur!$B$54-Calculateur!$B$58-IF(Hypotheses!$B$100="proportionnel",MAX(0,($A67*Calculateur!$B$56+$A67*F$65*Calculateur!$B$57)-Hypotheses!$B$97)/Hypotheses!$B$99,ROUNDUP(MAX(0,($A67*Calculateur!$B$56+$A67*F$65*Calculateur!$B$57)-Hypotheses!$B$97)/Hypotheses!$B$99,0))*Hypotheses!$B$101)*12),Hypotheses!$A$58)-Hypotheses!$A$57)*Hypotheses!$B$58+MAX(0,MAX(0,($A67*F$65*Calculateur!$B$54-Calculateur!$B$58-IF(Hypotheses!$B$100="proportionnel",MAX(0,($A67*Calculateur!$B$56+$A67*F$65*Calculateur!$B$57)-Hypotheses!$B$97)/Hypotheses!$B$99,ROUNDUP(MAX(0,($A67*Calculateur!$B$56+$A67*F$65*Calculateur!$B$57)-Hypotheses!$B$97)/Hypotheses!$B$99,0))*Hypotheses!$B$101)*12)-Hypotheses!$A$58)*Hypotheses!$B$59)*(1+Hypotheses!$B$60)*(1-Hypotheses!$B$61)/12))*Hypotheses!$B$65</f>
        <v/>
      </c>
      <c r="G67" s="21">
        <f>(($A67*G$65*Calculateur!$B$54-Calculateur!$B$58-IF(Hypotheses!$B$100="proportionnel",MAX(0,($A67*Calculateur!$B$56+$A67*G$65*Calculateur!$B$57)-Hypotheses!$B$97)/Hypotheses!$B$99,ROUNDUP(MAX(0,($A67*Calculateur!$B$56+$A67*G$65*Calculateur!$B$57)-Hypotheses!$B$97)/Hypotheses!$B$99,0))*Hypotheses!$B$101)-(MIN(MAX(0,($A67*G$65*Calculateur!$B$54-Calculateur!$B$58-IF(Hypotheses!$B$100="proportionnel",MAX(0,($A67*Calculateur!$B$56+$A67*G$65*Calculateur!$B$57)-Hypotheses!$B$97)/Hypotheses!$B$99,ROUNDUP(MAX(0,($A67*Calculateur!$B$56+$A67*G$65*Calculateur!$B$57)-Hypotheses!$B$97)/Hypotheses!$B$99,0))*Hypotheses!$B$101)*12),Hypotheses!$A$56)*Hypotheses!$B$56+MAX(0,MIN(MAX(0,($A67*G$65*Calculateur!$B$54-Calculateur!$B$58-IF(Hypotheses!$B$100="proportionnel",MAX(0,($A67*Calculateur!$B$56+$A67*G$65*Calculateur!$B$57)-Hypotheses!$B$97)/Hypotheses!$B$99,ROUNDUP(MAX(0,($A67*Calculateur!$B$56+$A67*G$65*Calculateur!$B$57)-Hypotheses!$B$97)/Hypotheses!$B$99,0))*Hypotheses!$B$101)*12),Hypotheses!$A$57)-Hypotheses!$A$56)*Hypotheses!$B$57+MAX(0,MIN(MAX(0,($A67*G$65*Calculateur!$B$54-Calculateur!$B$58-IF(Hypotheses!$B$100="proportionnel",MAX(0,($A67*Calculateur!$B$56+$A67*G$65*Calculateur!$B$57)-Hypotheses!$B$97)/Hypotheses!$B$99,ROUNDUP(MAX(0,($A67*Calculateur!$B$56+$A67*G$65*Calculateur!$B$57)-Hypotheses!$B$97)/Hypotheses!$B$99,0))*Hypotheses!$B$101)*12),Hypotheses!$A$58)-Hypotheses!$A$57)*Hypotheses!$B$58+MAX(0,MAX(0,($A67*G$65*Calculateur!$B$54-Calculateur!$B$58-IF(Hypotheses!$B$100="proportionnel",MAX(0,($A67*Calculateur!$B$56+$A67*G$65*Calculateur!$B$57)-Hypotheses!$B$97)/Hypotheses!$B$99,ROUNDUP(MAX(0,($A67*Calculateur!$B$56+$A67*G$65*Calculateur!$B$57)-Hypotheses!$B$97)/Hypotheses!$B$99,0))*Hypotheses!$B$101)*12)-Hypotheses!$A$58)*Hypotheses!$B$59)*(1+Hypotheses!$B$60)*(1-Hypotheses!$B$61)/12)-MAX(0,(($A67*G$65*Calculateur!$B$54-Calculateur!$B$58-IF(Hypotheses!$B$100="proportionnel",MAX(0,($A67*Calculateur!$B$56+$A67*G$65*Calculateur!$B$57)-Hypotheses!$B$97)/Hypotheses!$B$99,ROUNDUP(MAX(0,($A67*Calculateur!$B$56+$A67*G$65*Calculateur!$B$57)-Hypotheses!$B$97)/Hypotheses!$B$99,0))*Hypotheses!$B$101)-(MIN(MAX(0,($A67*G$65*Calculateur!$B$54-Calculateur!$B$58-IF(Hypotheses!$B$100="proportionnel",MAX(0,($A67*Calculateur!$B$56+$A67*G$65*Calculateur!$B$57)-Hypotheses!$B$97)/Hypotheses!$B$99,ROUNDUP(MAX(0,($A67*Calculateur!$B$56+$A67*G$65*Calculateur!$B$57)-Hypotheses!$B$97)/Hypotheses!$B$99,0))*Hypotheses!$B$101)*12),Hypotheses!$A$56)*Hypotheses!$B$56+MAX(0,MIN(MAX(0,($A67*G$65*Calculateur!$B$54-Calculateur!$B$58-IF(Hypotheses!$B$100="proportionnel",MAX(0,($A67*Calculateur!$B$56+$A67*G$65*Calculateur!$B$57)-Hypotheses!$B$97)/Hypotheses!$B$99,ROUNDUP(MAX(0,($A67*Calculateur!$B$56+$A67*G$65*Calculateur!$B$57)-Hypotheses!$B$97)/Hypotheses!$B$99,0))*Hypotheses!$B$101)*12),Hypotheses!$A$57)-Hypotheses!$A$56)*Hypotheses!$B$57+MAX(0,MIN(MAX(0,($A67*G$65*Calculateur!$B$54-Calculateur!$B$58-IF(Hypotheses!$B$100="proportionnel",MAX(0,($A67*Calculateur!$B$56+$A67*G$65*Calculateur!$B$57)-Hypotheses!$B$97)/Hypotheses!$B$99,ROUNDUP(MAX(0,($A67*Calculateur!$B$56+$A67*G$65*Calculateur!$B$57)-Hypotheses!$B$97)/Hypotheses!$B$99,0))*Hypotheses!$B$101)*12),Hypotheses!$A$58)-Hypotheses!$A$57)*Hypotheses!$B$58+MAX(0,MAX(0,($A67*G$65*Calculateur!$B$54-Calculateur!$B$58-IF(Hypotheses!$B$100="proportionnel",MAX(0,($A67*Calculateur!$B$56+$A67*G$65*Calculateur!$B$57)-Hypotheses!$B$97)/Hypotheses!$B$99,ROUNDUP(MAX(0,($A67*Calculateur!$B$56+$A67*G$65*Calculateur!$B$57)-Hypotheses!$B$97)/Hypotheses!$B$99,0))*Hypotheses!$B$101)*12)-Hypotheses!$A$58)*Hypotheses!$B$59)*(1+Hypotheses!$B$60)*(1-Hypotheses!$B$61)/12))*Hypotheses!$B$65</f>
        <v/>
      </c>
      <c r="H67" s="21">
        <f>(($A67*H$65*Calculateur!$B$54-Calculateur!$B$58-IF(Hypotheses!$B$100="proportionnel",MAX(0,($A67*Calculateur!$B$56+$A67*H$65*Calculateur!$B$57)-Hypotheses!$B$97)/Hypotheses!$B$99,ROUNDUP(MAX(0,($A67*Calculateur!$B$56+$A67*H$65*Calculateur!$B$57)-Hypotheses!$B$97)/Hypotheses!$B$99,0))*Hypotheses!$B$101)-(MIN(MAX(0,($A67*H$65*Calculateur!$B$54-Calculateur!$B$58-IF(Hypotheses!$B$100="proportionnel",MAX(0,($A67*Calculateur!$B$56+$A67*H$65*Calculateur!$B$57)-Hypotheses!$B$97)/Hypotheses!$B$99,ROUNDUP(MAX(0,($A67*Calculateur!$B$56+$A67*H$65*Calculateur!$B$57)-Hypotheses!$B$97)/Hypotheses!$B$99,0))*Hypotheses!$B$101)*12),Hypotheses!$A$56)*Hypotheses!$B$56+MAX(0,MIN(MAX(0,($A67*H$65*Calculateur!$B$54-Calculateur!$B$58-IF(Hypotheses!$B$100="proportionnel",MAX(0,($A67*Calculateur!$B$56+$A67*H$65*Calculateur!$B$57)-Hypotheses!$B$97)/Hypotheses!$B$99,ROUNDUP(MAX(0,($A67*Calculateur!$B$56+$A67*H$65*Calculateur!$B$57)-Hypotheses!$B$97)/Hypotheses!$B$99,0))*Hypotheses!$B$101)*12),Hypotheses!$A$57)-Hypotheses!$A$56)*Hypotheses!$B$57+MAX(0,MIN(MAX(0,($A67*H$65*Calculateur!$B$54-Calculateur!$B$58-IF(Hypotheses!$B$100="proportionnel",MAX(0,($A67*Calculateur!$B$56+$A67*H$65*Calculateur!$B$57)-Hypotheses!$B$97)/Hypotheses!$B$99,ROUNDUP(MAX(0,($A67*Calculateur!$B$56+$A67*H$65*Calculateur!$B$57)-Hypotheses!$B$97)/Hypotheses!$B$99,0))*Hypotheses!$B$101)*12),Hypotheses!$A$58)-Hypotheses!$A$57)*Hypotheses!$B$58+MAX(0,MAX(0,($A67*H$65*Calculateur!$B$54-Calculateur!$B$58-IF(Hypotheses!$B$100="proportionnel",MAX(0,($A67*Calculateur!$B$56+$A67*H$65*Calculateur!$B$57)-Hypotheses!$B$97)/Hypotheses!$B$99,ROUNDUP(MAX(0,($A67*Calculateur!$B$56+$A67*H$65*Calculateur!$B$57)-Hypotheses!$B$97)/Hypotheses!$B$99,0))*Hypotheses!$B$101)*12)-Hypotheses!$A$58)*Hypotheses!$B$59)*(1+Hypotheses!$B$60)*(1-Hypotheses!$B$61)/12)-MAX(0,(($A67*H$65*Calculateur!$B$54-Calculateur!$B$58-IF(Hypotheses!$B$100="proportionnel",MAX(0,($A67*Calculateur!$B$56+$A67*H$65*Calculateur!$B$57)-Hypotheses!$B$97)/Hypotheses!$B$99,ROUNDUP(MAX(0,($A67*Calculateur!$B$56+$A67*H$65*Calculateur!$B$57)-Hypotheses!$B$97)/Hypotheses!$B$99,0))*Hypotheses!$B$101)-(MIN(MAX(0,($A67*H$65*Calculateur!$B$54-Calculateur!$B$58-IF(Hypotheses!$B$100="proportionnel",MAX(0,($A67*Calculateur!$B$56+$A67*H$65*Calculateur!$B$57)-Hypotheses!$B$97)/Hypotheses!$B$99,ROUNDUP(MAX(0,($A67*Calculateur!$B$56+$A67*H$65*Calculateur!$B$57)-Hypotheses!$B$97)/Hypotheses!$B$99,0))*Hypotheses!$B$101)*12),Hypotheses!$A$56)*Hypotheses!$B$56+MAX(0,MIN(MAX(0,($A67*H$65*Calculateur!$B$54-Calculateur!$B$58-IF(Hypotheses!$B$100="proportionnel",MAX(0,($A67*Calculateur!$B$56+$A67*H$65*Calculateur!$B$57)-Hypotheses!$B$97)/Hypotheses!$B$99,ROUNDUP(MAX(0,($A67*Calculateur!$B$56+$A67*H$65*Calculateur!$B$57)-Hypotheses!$B$97)/Hypotheses!$B$99,0))*Hypotheses!$B$101)*12),Hypotheses!$A$57)-Hypotheses!$A$56)*Hypotheses!$B$57+MAX(0,MIN(MAX(0,($A67*H$65*Calculateur!$B$54-Calculateur!$B$58-IF(Hypotheses!$B$100="proportionnel",MAX(0,($A67*Calculateur!$B$56+$A67*H$65*Calculateur!$B$57)-Hypotheses!$B$97)/Hypotheses!$B$99,ROUNDUP(MAX(0,($A67*Calculateur!$B$56+$A67*H$65*Calculateur!$B$57)-Hypotheses!$B$97)/Hypotheses!$B$99,0))*Hypotheses!$B$101)*12),Hypotheses!$A$58)-Hypotheses!$A$57)*Hypotheses!$B$58+MAX(0,MAX(0,($A67*H$65*Calculateur!$B$54-Calculateur!$B$58-IF(Hypotheses!$B$100="proportionnel",MAX(0,($A67*Calculateur!$B$56+$A67*H$65*Calculateur!$B$57)-Hypotheses!$B$97)/Hypotheses!$B$99,ROUNDUP(MAX(0,($A67*Calculateur!$B$56+$A67*H$65*Calculateur!$B$57)-Hypotheses!$B$97)/Hypotheses!$B$99,0))*Hypotheses!$B$101)*12)-Hypotheses!$A$58)*Hypotheses!$B$59)*(1+Hypotheses!$B$60)*(1-Hypotheses!$B$61)/12))*Hypotheses!$B$65</f>
        <v/>
      </c>
      <c r="I67" s="21">
        <f>(($A67*I$65*Calculateur!$B$54-Calculateur!$B$58-IF(Hypotheses!$B$100="proportionnel",MAX(0,($A67*Calculateur!$B$56+$A67*I$65*Calculateur!$B$57)-Hypotheses!$B$97)/Hypotheses!$B$99,ROUNDUP(MAX(0,($A67*Calculateur!$B$56+$A67*I$65*Calculateur!$B$57)-Hypotheses!$B$97)/Hypotheses!$B$99,0))*Hypotheses!$B$101)-(MIN(MAX(0,($A67*I$65*Calculateur!$B$54-Calculateur!$B$58-IF(Hypotheses!$B$100="proportionnel",MAX(0,($A67*Calculateur!$B$56+$A67*I$65*Calculateur!$B$57)-Hypotheses!$B$97)/Hypotheses!$B$99,ROUNDUP(MAX(0,($A67*Calculateur!$B$56+$A67*I$65*Calculateur!$B$57)-Hypotheses!$B$97)/Hypotheses!$B$99,0))*Hypotheses!$B$101)*12),Hypotheses!$A$56)*Hypotheses!$B$56+MAX(0,MIN(MAX(0,($A67*I$65*Calculateur!$B$54-Calculateur!$B$58-IF(Hypotheses!$B$100="proportionnel",MAX(0,($A67*Calculateur!$B$56+$A67*I$65*Calculateur!$B$57)-Hypotheses!$B$97)/Hypotheses!$B$99,ROUNDUP(MAX(0,($A67*Calculateur!$B$56+$A67*I$65*Calculateur!$B$57)-Hypotheses!$B$97)/Hypotheses!$B$99,0))*Hypotheses!$B$101)*12),Hypotheses!$A$57)-Hypotheses!$A$56)*Hypotheses!$B$57+MAX(0,MIN(MAX(0,($A67*I$65*Calculateur!$B$54-Calculateur!$B$58-IF(Hypotheses!$B$100="proportionnel",MAX(0,($A67*Calculateur!$B$56+$A67*I$65*Calculateur!$B$57)-Hypotheses!$B$97)/Hypotheses!$B$99,ROUNDUP(MAX(0,($A67*Calculateur!$B$56+$A67*I$65*Calculateur!$B$57)-Hypotheses!$B$97)/Hypotheses!$B$99,0))*Hypotheses!$B$101)*12),Hypotheses!$A$58)-Hypotheses!$A$57)*Hypotheses!$B$58+MAX(0,MAX(0,($A67*I$65*Calculateur!$B$54-Calculateur!$B$58-IF(Hypotheses!$B$100="proportionnel",MAX(0,($A67*Calculateur!$B$56+$A67*I$65*Calculateur!$B$57)-Hypotheses!$B$97)/Hypotheses!$B$99,ROUNDUP(MAX(0,($A67*Calculateur!$B$56+$A67*I$65*Calculateur!$B$57)-Hypotheses!$B$97)/Hypotheses!$B$99,0))*Hypotheses!$B$101)*12)-Hypotheses!$A$58)*Hypotheses!$B$59)*(1+Hypotheses!$B$60)*(1-Hypotheses!$B$61)/12)-MAX(0,(($A67*I$65*Calculateur!$B$54-Calculateur!$B$58-IF(Hypotheses!$B$100="proportionnel",MAX(0,($A67*Calculateur!$B$56+$A67*I$65*Calculateur!$B$57)-Hypotheses!$B$97)/Hypotheses!$B$99,ROUNDUP(MAX(0,($A67*Calculateur!$B$56+$A67*I$65*Calculateur!$B$57)-Hypotheses!$B$97)/Hypotheses!$B$99,0))*Hypotheses!$B$101)-(MIN(MAX(0,($A67*I$65*Calculateur!$B$54-Calculateur!$B$58-IF(Hypotheses!$B$100="proportionnel",MAX(0,($A67*Calculateur!$B$56+$A67*I$65*Calculateur!$B$57)-Hypotheses!$B$97)/Hypotheses!$B$99,ROUNDUP(MAX(0,($A67*Calculateur!$B$56+$A67*I$65*Calculateur!$B$57)-Hypotheses!$B$97)/Hypotheses!$B$99,0))*Hypotheses!$B$101)*12),Hypotheses!$A$56)*Hypotheses!$B$56+MAX(0,MIN(MAX(0,($A67*I$65*Calculateur!$B$54-Calculateur!$B$58-IF(Hypotheses!$B$100="proportionnel",MAX(0,($A67*Calculateur!$B$56+$A67*I$65*Calculateur!$B$57)-Hypotheses!$B$97)/Hypotheses!$B$99,ROUNDUP(MAX(0,($A67*Calculateur!$B$56+$A67*I$65*Calculateur!$B$57)-Hypotheses!$B$97)/Hypotheses!$B$99,0))*Hypotheses!$B$101)*12),Hypotheses!$A$57)-Hypotheses!$A$56)*Hypotheses!$B$57+MAX(0,MIN(MAX(0,($A67*I$65*Calculateur!$B$54-Calculateur!$B$58-IF(Hypotheses!$B$100="proportionnel",MAX(0,($A67*Calculateur!$B$56+$A67*I$65*Calculateur!$B$57)-Hypotheses!$B$97)/Hypotheses!$B$99,ROUNDUP(MAX(0,($A67*Calculateur!$B$56+$A67*I$65*Calculateur!$B$57)-Hypotheses!$B$97)/Hypotheses!$B$99,0))*Hypotheses!$B$101)*12),Hypotheses!$A$58)-Hypotheses!$A$57)*Hypotheses!$B$58+MAX(0,MAX(0,($A67*I$65*Calculateur!$B$54-Calculateur!$B$58-IF(Hypotheses!$B$100="proportionnel",MAX(0,($A67*Calculateur!$B$56+$A67*I$65*Calculateur!$B$57)-Hypotheses!$B$97)/Hypotheses!$B$99,ROUNDUP(MAX(0,($A67*Calculateur!$B$56+$A67*I$65*Calculateur!$B$57)-Hypotheses!$B$97)/Hypotheses!$B$99,0))*Hypotheses!$B$101)*12)-Hypotheses!$A$58)*Hypotheses!$B$59)*(1+Hypotheses!$B$60)*(1-Hypotheses!$B$61)/12))*Hypotheses!$B$65</f>
        <v/>
      </c>
    </row>
    <row r="68">
      <c r="A68" s="36" t="n">
        <v>15</v>
      </c>
      <c r="B68" s="21">
        <f>(($A68*B$65*Calculateur!$B$54-Calculateur!$B$58-IF(Hypotheses!$B$100="proportionnel",MAX(0,($A68*Calculateur!$B$56+$A68*B$65*Calculateur!$B$57)-Hypotheses!$B$97)/Hypotheses!$B$99,ROUNDUP(MAX(0,($A68*Calculateur!$B$56+$A68*B$65*Calculateur!$B$57)-Hypotheses!$B$97)/Hypotheses!$B$99,0))*Hypotheses!$B$101)-(MIN(MAX(0,($A68*B$65*Calculateur!$B$54-Calculateur!$B$58-IF(Hypotheses!$B$100="proportionnel",MAX(0,($A68*Calculateur!$B$56+$A68*B$65*Calculateur!$B$57)-Hypotheses!$B$97)/Hypotheses!$B$99,ROUNDUP(MAX(0,($A68*Calculateur!$B$56+$A68*B$65*Calculateur!$B$57)-Hypotheses!$B$97)/Hypotheses!$B$99,0))*Hypotheses!$B$101)*12),Hypotheses!$A$56)*Hypotheses!$B$56+MAX(0,MIN(MAX(0,($A68*B$65*Calculateur!$B$54-Calculateur!$B$58-IF(Hypotheses!$B$100="proportionnel",MAX(0,($A68*Calculateur!$B$56+$A68*B$65*Calculateur!$B$57)-Hypotheses!$B$97)/Hypotheses!$B$99,ROUNDUP(MAX(0,($A68*Calculateur!$B$56+$A68*B$65*Calculateur!$B$57)-Hypotheses!$B$97)/Hypotheses!$B$99,0))*Hypotheses!$B$101)*12),Hypotheses!$A$57)-Hypotheses!$A$56)*Hypotheses!$B$57+MAX(0,MIN(MAX(0,($A68*B$65*Calculateur!$B$54-Calculateur!$B$58-IF(Hypotheses!$B$100="proportionnel",MAX(0,($A68*Calculateur!$B$56+$A68*B$65*Calculateur!$B$57)-Hypotheses!$B$97)/Hypotheses!$B$99,ROUNDUP(MAX(0,($A68*Calculateur!$B$56+$A68*B$65*Calculateur!$B$57)-Hypotheses!$B$97)/Hypotheses!$B$99,0))*Hypotheses!$B$101)*12),Hypotheses!$A$58)-Hypotheses!$A$57)*Hypotheses!$B$58+MAX(0,MAX(0,($A68*B$65*Calculateur!$B$54-Calculateur!$B$58-IF(Hypotheses!$B$100="proportionnel",MAX(0,($A68*Calculateur!$B$56+$A68*B$65*Calculateur!$B$57)-Hypotheses!$B$97)/Hypotheses!$B$99,ROUNDUP(MAX(0,($A68*Calculateur!$B$56+$A68*B$65*Calculateur!$B$57)-Hypotheses!$B$97)/Hypotheses!$B$99,0))*Hypotheses!$B$101)*12)-Hypotheses!$A$58)*Hypotheses!$B$59)*(1+Hypotheses!$B$60)*(1-Hypotheses!$B$61)/12)-MAX(0,(($A68*B$65*Calculateur!$B$54-Calculateur!$B$58-IF(Hypotheses!$B$100="proportionnel",MAX(0,($A68*Calculateur!$B$56+$A68*B$65*Calculateur!$B$57)-Hypotheses!$B$97)/Hypotheses!$B$99,ROUNDUP(MAX(0,($A68*Calculateur!$B$56+$A68*B$65*Calculateur!$B$57)-Hypotheses!$B$97)/Hypotheses!$B$99,0))*Hypotheses!$B$101)-(MIN(MAX(0,($A68*B$65*Calculateur!$B$54-Calculateur!$B$58-IF(Hypotheses!$B$100="proportionnel",MAX(0,($A68*Calculateur!$B$56+$A68*B$65*Calculateur!$B$57)-Hypotheses!$B$97)/Hypotheses!$B$99,ROUNDUP(MAX(0,($A68*Calculateur!$B$56+$A68*B$65*Calculateur!$B$57)-Hypotheses!$B$97)/Hypotheses!$B$99,0))*Hypotheses!$B$101)*12),Hypotheses!$A$56)*Hypotheses!$B$56+MAX(0,MIN(MAX(0,($A68*B$65*Calculateur!$B$54-Calculateur!$B$58-IF(Hypotheses!$B$100="proportionnel",MAX(0,($A68*Calculateur!$B$56+$A68*B$65*Calculateur!$B$57)-Hypotheses!$B$97)/Hypotheses!$B$99,ROUNDUP(MAX(0,($A68*Calculateur!$B$56+$A68*B$65*Calculateur!$B$57)-Hypotheses!$B$97)/Hypotheses!$B$99,0))*Hypotheses!$B$101)*12),Hypotheses!$A$57)-Hypotheses!$A$56)*Hypotheses!$B$57+MAX(0,MIN(MAX(0,($A68*B$65*Calculateur!$B$54-Calculateur!$B$58-IF(Hypotheses!$B$100="proportionnel",MAX(0,($A68*Calculateur!$B$56+$A68*B$65*Calculateur!$B$57)-Hypotheses!$B$97)/Hypotheses!$B$99,ROUNDUP(MAX(0,($A68*Calculateur!$B$56+$A68*B$65*Calculateur!$B$57)-Hypotheses!$B$97)/Hypotheses!$B$99,0))*Hypotheses!$B$101)*12),Hypotheses!$A$58)-Hypotheses!$A$57)*Hypotheses!$B$58+MAX(0,MAX(0,($A68*B$65*Calculateur!$B$54-Calculateur!$B$58-IF(Hypotheses!$B$100="proportionnel",MAX(0,($A68*Calculateur!$B$56+$A68*B$65*Calculateur!$B$57)-Hypotheses!$B$97)/Hypotheses!$B$99,ROUNDUP(MAX(0,($A68*Calculateur!$B$56+$A68*B$65*Calculateur!$B$57)-Hypotheses!$B$97)/Hypotheses!$B$99,0))*Hypotheses!$B$101)*12)-Hypotheses!$A$58)*Hypotheses!$B$59)*(1+Hypotheses!$B$60)*(1-Hypotheses!$B$61)/12))*Hypotheses!$B$65</f>
        <v/>
      </c>
      <c r="C68" s="21">
        <f>(($A68*C$65*Calculateur!$B$54-Calculateur!$B$58-IF(Hypotheses!$B$100="proportionnel",MAX(0,($A68*Calculateur!$B$56+$A68*C$65*Calculateur!$B$57)-Hypotheses!$B$97)/Hypotheses!$B$99,ROUNDUP(MAX(0,($A68*Calculateur!$B$56+$A68*C$65*Calculateur!$B$57)-Hypotheses!$B$97)/Hypotheses!$B$99,0))*Hypotheses!$B$101)-(MIN(MAX(0,($A68*C$65*Calculateur!$B$54-Calculateur!$B$58-IF(Hypotheses!$B$100="proportionnel",MAX(0,($A68*Calculateur!$B$56+$A68*C$65*Calculateur!$B$57)-Hypotheses!$B$97)/Hypotheses!$B$99,ROUNDUP(MAX(0,($A68*Calculateur!$B$56+$A68*C$65*Calculateur!$B$57)-Hypotheses!$B$97)/Hypotheses!$B$99,0))*Hypotheses!$B$101)*12),Hypotheses!$A$56)*Hypotheses!$B$56+MAX(0,MIN(MAX(0,($A68*C$65*Calculateur!$B$54-Calculateur!$B$58-IF(Hypotheses!$B$100="proportionnel",MAX(0,($A68*Calculateur!$B$56+$A68*C$65*Calculateur!$B$57)-Hypotheses!$B$97)/Hypotheses!$B$99,ROUNDUP(MAX(0,($A68*Calculateur!$B$56+$A68*C$65*Calculateur!$B$57)-Hypotheses!$B$97)/Hypotheses!$B$99,0))*Hypotheses!$B$101)*12),Hypotheses!$A$57)-Hypotheses!$A$56)*Hypotheses!$B$57+MAX(0,MIN(MAX(0,($A68*C$65*Calculateur!$B$54-Calculateur!$B$58-IF(Hypotheses!$B$100="proportionnel",MAX(0,($A68*Calculateur!$B$56+$A68*C$65*Calculateur!$B$57)-Hypotheses!$B$97)/Hypotheses!$B$99,ROUNDUP(MAX(0,($A68*Calculateur!$B$56+$A68*C$65*Calculateur!$B$57)-Hypotheses!$B$97)/Hypotheses!$B$99,0))*Hypotheses!$B$101)*12),Hypotheses!$A$58)-Hypotheses!$A$57)*Hypotheses!$B$58+MAX(0,MAX(0,($A68*C$65*Calculateur!$B$54-Calculateur!$B$58-IF(Hypotheses!$B$100="proportionnel",MAX(0,($A68*Calculateur!$B$56+$A68*C$65*Calculateur!$B$57)-Hypotheses!$B$97)/Hypotheses!$B$99,ROUNDUP(MAX(0,($A68*Calculateur!$B$56+$A68*C$65*Calculateur!$B$57)-Hypotheses!$B$97)/Hypotheses!$B$99,0))*Hypotheses!$B$101)*12)-Hypotheses!$A$58)*Hypotheses!$B$59)*(1+Hypotheses!$B$60)*(1-Hypotheses!$B$61)/12)-MAX(0,(($A68*C$65*Calculateur!$B$54-Calculateur!$B$58-IF(Hypotheses!$B$100="proportionnel",MAX(0,($A68*Calculateur!$B$56+$A68*C$65*Calculateur!$B$57)-Hypotheses!$B$97)/Hypotheses!$B$99,ROUNDUP(MAX(0,($A68*Calculateur!$B$56+$A68*C$65*Calculateur!$B$57)-Hypotheses!$B$97)/Hypotheses!$B$99,0))*Hypotheses!$B$101)-(MIN(MAX(0,($A68*C$65*Calculateur!$B$54-Calculateur!$B$58-IF(Hypotheses!$B$100="proportionnel",MAX(0,($A68*Calculateur!$B$56+$A68*C$65*Calculateur!$B$57)-Hypotheses!$B$97)/Hypotheses!$B$99,ROUNDUP(MAX(0,($A68*Calculateur!$B$56+$A68*C$65*Calculateur!$B$57)-Hypotheses!$B$97)/Hypotheses!$B$99,0))*Hypotheses!$B$101)*12),Hypotheses!$A$56)*Hypotheses!$B$56+MAX(0,MIN(MAX(0,($A68*C$65*Calculateur!$B$54-Calculateur!$B$58-IF(Hypotheses!$B$100="proportionnel",MAX(0,($A68*Calculateur!$B$56+$A68*C$65*Calculateur!$B$57)-Hypotheses!$B$97)/Hypotheses!$B$99,ROUNDUP(MAX(0,($A68*Calculateur!$B$56+$A68*C$65*Calculateur!$B$57)-Hypotheses!$B$97)/Hypotheses!$B$99,0))*Hypotheses!$B$101)*12),Hypotheses!$A$57)-Hypotheses!$A$56)*Hypotheses!$B$57+MAX(0,MIN(MAX(0,($A68*C$65*Calculateur!$B$54-Calculateur!$B$58-IF(Hypotheses!$B$100="proportionnel",MAX(0,($A68*Calculateur!$B$56+$A68*C$65*Calculateur!$B$57)-Hypotheses!$B$97)/Hypotheses!$B$99,ROUNDUP(MAX(0,($A68*Calculateur!$B$56+$A68*C$65*Calculateur!$B$57)-Hypotheses!$B$97)/Hypotheses!$B$99,0))*Hypotheses!$B$101)*12),Hypotheses!$A$58)-Hypotheses!$A$57)*Hypotheses!$B$58+MAX(0,MAX(0,($A68*C$65*Calculateur!$B$54-Calculateur!$B$58-IF(Hypotheses!$B$100="proportionnel",MAX(0,($A68*Calculateur!$B$56+$A68*C$65*Calculateur!$B$57)-Hypotheses!$B$97)/Hypotheses!$B$99,ROUNDUP(MAX(0,($A68*Calculateur!$B$56+$A68*C$65*Calculateur!$B$57)-Hypotheses!$B$97)/Hypotheses!$B$99,0))*Hypotheses!$B$101)*12)-Hypotheses!$A$58)*Hypotheses!$B$59)*(1+Hypotheses!$B$60)*(1-Hypotheses!$B$61)/12))*Hypotheses!$B$65</f>
        <v/>
      </c>
      <c r="D68" s="21">
        <f>(($A68*D$65*Calculateur!$B$54-Calculateur!$B$58-IF(Hypotheses!$B$100="proportionnel",MAX(0,($A68*Calculateur!$B$56+$A68*D$65*Calculateur!$B$57)-Hypotheses!$B$97)/Hypotheses!$B$99,ROUNDUP(MAX(0,($A68*Calculateur!$B$56+$A68*D$65*Calculateur!$B$57)-Hypotheses!$B$97)/Hypotheses!$B$99,0))*Hypotheses!$B$101)-(MIN(MAX(0,($A68*D$65*Calculateur!$B$54-Calculateur!$B$58-IF(Hypotheses!$B$100="proportionnel",MAX(0,($A68*Calculateur!$B$56+$A68*D$65*Calculateur!$B$57)-Hypotheses!$B$97)/Hypotheses!$B$99,ROUNDUP(MAX(0,($A68*Calculateur!$B$56+$A68*D$65*Calculateur!$B$57)-Hypotheses!$B$97)/Hypotheses!$B$99,0))*Hypotheses!$B$101)*12),Hypotheses!$A$56)*Hypotheses!$B$56+MAX(0,MIN(MAX(0,($A68*D$65*Calculateur!$B$54-Calculateur!$B$58-IF(Hypotheses!$B$100="proportionnel",MAX(0,($A68*Calculateur!$B$56+$A68*D$65*Calculateur!$B$57)-Hypotheses!$B$97)/Hypotheses!$B$99,ROUNDUP(MAX(0,($A68*Calculateur!$B$56+$A68*D$65*Calculateur!$B$57)-Hypotheses!$B$97)/Hypotheses!$B$99,0))*Hypotheses!$B$101)*12),Hypotheses!$A$57)-Hypotheses!$A$56)*Hypotheses!$B$57+MAX(0,MIN(MAX(0,($A68*D$65*Calculateur!$B$54-Calculateur!$B$58-IF(Hypotheses!$B$100="proportionnel",MAX(0,($A68*Calculateur!$B$56+$A68*D$65*Calculateur!$B$57)-Hypotheses!$B$97)/Hypotheses!$B$99,ROUNDUP(MAX(0,($A68*Calculateur!$B$56+$A68*D$65*Calculateur!$B$57)-Hypotheses!$B$97)/Hypotheses!$B$99,0))*Hypotheses!$B$101)*12),Hypotheses!$A$58)-Hypotheses!$A$57)*Hypotheses!$B$58+MAX(0,MAX(0,($A68*D$65*Calculateur!$B$54-Calculateur!$B$58-IF(Hypotheses!$B$100="proportionnel",MAX(0,($A68*Calculateur!$B$56+$A68*D$65*Calculateur!$B$57)-Hypotheses!$B$97)/Hypotheses!$B$99,ROUNDUP(MAX(0,($A68*Calculateur!$B$56+$A68*D$65*Calculateur!$B$57)-Hypotheses!$B$97)/Hypotheses!$B$99,0))*Hypotheses!$B$101)*12)-Hypotheses!$A$58)*Hypotheses!$B$59)*(1+Hypotheses!$B$60)*(1-Hypotheses!$B$61)/12)-MAX(0,(($A68*D$65*Calculateur!$B$54-Calculateur!$B$58-IF(Hypotheses!$B$100="proportionnel",MAX(0,($A68*Calculateur!$B$56+$A68*D$65*Calculateur!$B$57)-Hypotheses!$B$97)/Hypotheses!$B$99,ROUNDUP(MAX(0,($A68*Calculateur!$B$56+$A68*D$65*Calculateur!$B$57)-Hypotheses!$B$97)/Hypotheses!$B$99,0))*Hypotheses!$B$101)-(MIN(MAX(0,($A68*D$65*Calculateur!$B$54-Calculateur!$B$58-IF(Hypotheses!$B$100="proportionnel",MAX(0,($A68*Calculateur!$B$56+$A68*D$65*Calculateur!$B$57)-Hypotheses!$B$97)/Hypotheses!$B$99,ROUNDUP(MAX(0,($A68*Calculateur!$B$56+$A68*D$65*Calculateur!$B$57)-Hypotheses!$B$97)/Hypotheses!$B$99,0))*Hypotheses!$B$101)*12),Hypotheses!$A$56)*Hypotheses!$B$56+MAX(0,MIN(MAX(0,($A68*D$65*Calculateur!$B$54-Calculateur!$B$58-IF(Hypotheses!$B$100="proportionnel",MAX(0,($A68*Calculateur!$B$56+$A68*D$65*Calculateur!$B$57)-Hypotheses!$B$97)/Hypotheses!$B$99,ROUNDUP(MAX(0,($A68*Calculateur!$B$56+$A68*D$65*Calculateur!$B$57)-Hypotheses!$B$97)/Hypotheses!$B$99,0))*Hypotheses!$B$101)*12),Hypotheses!$A$57)-Hypotheses!$A$56)*Hypotheses!$B$57+MAX(0,MIN(MAX(0,($A68*D$65*Calculateur!$B$54-Calculateur!$B$58-IF(Hypotheses!$B$100="proportionnel",MAX(0,($A68*Calculateur!$B$56+$A68*D$65*Calculateur!$B$57)-Hypotheses!$B$97)/Hypotheses!$B$99,ROUNDUP(MAX(0,($A68*Calculateur!$B$56+$A68*D$65*Calculateur!$B$57)-Hypotheses!$B$97)/Hypotheses!$B$99,0))*Hypotheses!$B$101)*12),Hypotheses!$A$58)-Hypotheses!$A$57)*Hypotheses!$B$58+MAX(0,MAX(0,($A68*D$65*Calculateur!$B$54-Calculateur!$B$58-IF(Hypotheses!$B$100="proportionnel",MAX(0,($A68*Calculateur!$B$56+$A68*D$65*Calculateur!$B$57)-Hypotheses!$B$97)/Hypotheses!$B$99,ROUNDUP(MAX(0,($A68*Calculateur!$B$56+$A68*D$65*Calculateur!$B$57)-Hypotheses!$B$97)/Hypotheses!$B$99,0))*Hypotheses!$B$101)*12)-Hypotheses!$A$58)*Hypotheses!$B$59)*(1+Hypotheses!$B$60)*(1-Hypotheses!$B$61)/12))*Hypotheses!$B$65</f>
        <v/>
      </c>
      <c r="E68" s="21">
        <f>(($A68*E$65*Calculateur!$B$54-Calculateur!$B$58-IF(Hypotheses!$B$100="proportionnel",MAX(0,($A68*Calculateur!$B$56+$A68*E$65*Calculateur!$B$57)-Hypotheses!$B$97)/Hypotheses!$B$99,ROUNDUP(MAX(0,($A68*Calculateur!$B$56+$A68*E$65*Calculateur!$B$57)-Hypotheses!$B$97)/Hypotheses!$B$99,0))*Hypotheses!$B$101)-(MIN(MAX(0,($A68*E$65*Calculateur!$B$54-Calculateur!$B$58-IF(Hypotheses!$B$100="proportionnel",MAX(0,($A68*Calculateur!$B$56+$A68*E$65*Calculateur!$B$57)-Hypotheses!$B$97)/Hypotheses!$B$99,ROUNDUP(MAX(0,($A68*Calculateur!$B$56+$A68*E$65*Calculateur!$B$57)-Hypotheses!$B$97)/Hypotheses!$B$99,0))*Hypotheses!$B$101)*12),Hypotheses!$A$56)*Hypotheses!$B$56+MAX(0,MIN(MAX(0,($A68*E$65*Calculateur!$B$54-Calculateur!$B$58-IF(Hypotheses!$B$100="proportionnel",MAX(0,($A68*Calculateur!$B$56+$A68*E$65*Calculateur!$B$57)-Hypotheses!$B$97)/Hypotheses!$B$99,ROUNDUP(MAX(0,($A68*Calculateur!$B$56+$A68*E$65*Calculateur!$B$57)-Hypotheses!$B$97)/Hypotheses!$B$99,0))*Hypotheses!$B$101)*12),Hypotheses!$A$57)-Hypotheses!$A$56)*Hypotheses!$B$57+MAX(0,MIN(MAX(0,($A68*E$65*Calculateur!$B$54-Calculateur!$B$58-IF(Hypotheses!$B$100="proportionnel",MAX(0,($A68*Calculateur!$B$56+$A68*E$65*Calculateur!$B$57)-Hypotheses!$B$97)/Hypotheses!$B$99,ROUNDUP(MAX(0,($A68*Calculateur!$B$56+$A68*E$65*Calculateur!$B$57)-Hypotheses!$B$97)/Hypotheses!$B$99,0))*Hypotheses!$B$101)*12),Hypotheses!$A$58)-Hypotheses!$A$57)*Hypotheses!$B$58+MAX(0,MAX(0,($A68*E$65*Calculateur!$B$54-Calculateur!$B$58-IF(Hypotheses!$B$100="proportionnel",MAX(0,($A68*Calculateur!$B$56+$A68*E$65*Calculateur!$B$57)-Hypotheses!$B$97)/Hypotheses!$B$99,ROUNDUP(MAX(0,($A68*Calculateur!$B$56+$A68*E$65*Calculateur!$B$57)-Hypotheses!$B$97)/Hypotheses!$B$99,0))*Hypotheses!$B$101)*12)-Hypotheses!$A$58)*Hypotheses!$B$59)*(1+Hypotheses!$B$60)*(1-Hypotheses!$B$61)/12)-MAX(0,(($A68*E$65*Calculateur!$B$54-Calculateur!$B$58-IF(Hypotheses!$B$100="proportionnel",MAX(0,($A68*Calculateur!$B$56+$A68*E$65*Calculateur!$B$57)-Hypotheses!$B$97)/Hypotheses!$B$99,ROUNDUP(MAX(0,($A68*Calculateur!$B$56+$A68*E$65*Calculateur!$B$57)-Hypotheses!$B$97)/Hypotheses!$B$99,0))*Hypotheses!$B$101)-(MIN(MAX(0,($A68*E$65*Calculateur!$B$54-Calculateur!$B$58-IF(Hypotheses!$B$100="proportionnel",MAX(0,($A68*Calculateur!$B$56+$A68*E$65*Calculateur!$B$57)-Hypotheses!$B$97)/Hypotheses!$B$99,ROUNDUP(MAX(0,($A68*Calculateur!$B$56+$A68*E$65*Calculateur!$B$57)-Hypotheses!$B$97)/Hypotheses!$B$99,0))*Hypotheses!$B$101)*12),Hypotheses!$A$56)*Hypotheses!$B$56+MAX(0,MIN(MAX(0,($A68*E$65*Calculateur!$B$54-Calculateur!$B$58-IF(Hypotheses!$B$100="proportionnel",MAX(0,($A68*Calculateur!$B$56+$A68*E$65*Calculateur!$B$57)-Hypotheses!$B$97)/Hypotheses!$B$99,ROUNDUP(MAX(0,($A68*Calculateur!$B$56+$A68*E$65*Calculateur!$B$57)-Hypotheses!$B$97)/Hypotheses!$B$99,0))*Hypotheses!$B$101)*12),Hypotheses!$A$57)-Hypotheses!$A$56)*Hypotheses!$B$57+MAX(0,MIN(MAX(0,($A68*E$65*Calculateur!$B$54-Calculateur!$B$58-IF(Hypotheses!$B$100="proportionnel",MAX(0,($A68*Calculateur!$B$56+$A68*E$65*Calculateur!$B$57)-Hypotheses!$B$97)/Hypotheses!$B$99,ROUNDUP(MAX(0,($A68*Calculateur!$B$56+$A68*E$65*Calculateur!$B$57)-Hypotheses!$B$97)/Hypotheses!$B$99,0))*Hypotheses!$B$101)*12),Hypotheses!$A$58)-Hypotheses!$A$57)*Hypotheses!$B$58+MAX(0,MAX(0,($A68*E$65*Calculateur!$B$54-Calculateur!$B$58-IF(Hypotheses!$B$100="proportionnel",MAX(0,($A68*Calculateur!$B$56+$A68*E$65*Calculateur!$B$57)-Hypotheses!$B$97)/Hypotheses!$B$99,ROUNDUP(MAX(0,($A68*Calculateur!$B$56+$A68*E$65*Calculateur!$B$57)-Hypotheses!$B$97)/Hypotheses!$B$99,0))*Hypotheses!$B$101)*12)-Hypotheses!$A$58)*Hypotheses!$B$59)*(1+Hypotheses!$B$60)*(1-Hypotheses!$B$61)/12))*Hypotheses!$B$65</f>
        <v/>
      </c>
      <c r="F68" s="21">
        <f>(($A68*F$65*Calculateur!$B$54-Calculateur!$B$58-IF(Hypotheses!$B$100="proportionnel",MAX(0,($A68*Calculateur!$B$56+$A68*F$65*Calculateur!$B$57)-Hypotheses!$B$97)/Hypotheses!$B$99,ROUNDUP(MAX(0,($A68*Calculateur!$B$56+$A68*F$65*Calculateur!$B$57)-Hypotheses!$B$97)/Hypotheses!$B$99,0))*Hypotheses!$B$101)-(MIN(MAX(0,($A68*F$65*Calculateur!$B$54-Calculateur!$B$58-IF(Hypotheses!$B$100="proportionnel",MAX(0,($A68*Calculateur!$B$56+$A68*F$65*Calculateur!$B$57)-Hypotheses!$B$97)/Hypotheses!$B$99,ROUNDUP(MAX(0,($A68*Calculateur!$B$56+$A68*F$65*Calculateur!$B$57)-Hypotheses!$B$97)/Hypotheses!$B$99,0))*Hypotheses!$B$101)*12),Hypotheses!$A$56)*Hypotheses!$B$56+MAX(0,MIN(MAX(0,($A68*F$65*Calculateur!$B$54-Calculateur!$B$58-IF(Hypotheses!$B$100="proportionnel",MAX(0,($A68*Calculateur!$B$56+$A68*F$65*Calculateur!$B$57)-Hypotheses!$B$97)/Hypotheses!$B$99,ROUNDUP(MAX(0,($A68*Calculateur!$B$56+$A68*F$65*Calculateur!$B$57)-Hypotheses!$B$97)/Hypotheses!$B$99,0))*Hypotheses!$B$101)*12),Hypotheses!$A$57)-Hypotheses!$A$56)*Hypotheses!$B$57+MAX(0,MIN(MAX(0,($A68*F$65*Calculateur!$B$54-Calculateur!$B$58-IF(Hypotheses!$B$100="proportionnel",MAX(0,($A68*Calculateur!$B$56+$A68*F$65*Calculateur!$B$57)-Hypotheses!$B$97)/Hypotheses!$B$99,ROUNDUP(MAX(0,($A68*Calculateur!$B$56+$A68*F$65*Calculateur!$B$57)-Hypotheses!$B$97)/Hypotheses!$B$99,0))*Hypotheses!$B$101)*12),Hypotheses!$A$58)-Hypotheses!$A$57)*Hypotheses!$B$58+MAX(0,MAX(0,($A68*F$65*Calculateur!$B$54-Calculateur!$B$58-IF(Hypotheses!$B$100="proportionnel",MAX(0,($A68*Calculateur!$B$56+$A68*F$65*Calculateur!$B$57)-Hypotheses!$B$97)/Hypotheses!$B$99,ROUNDUP(MAX(0,($A68*Calculateur!$B$56+$A68*F$65*Calculateur!$B$57)-Hypotheses!$B$97)/Hypotheses!$B$99,0))*Hypotheses!$B$101)*12)-Hypotheses!$A$58)*Hypotheses!$B$59)*(1+Hypotheses!$B$60)*(1-Hypotheses!$B$61)/12)-MAX(0,(($A68*F$65*Calculateur!$B$54-Calculateur!$B$58-IF(Hypotheses!$B$100="proportionnel",MAX(0,($A68*Calculateur!$B$56+$A68*F$65*Calculateur!$B$57)-Hypotheses!$B$97)/Hypotheses!$B$99,ROUNDUP(MAX(0,($A68*Calculateur!$B$56+$A68*F$65*Calculateur!$B$57)-Hypotheses!$B$97)/Hypotheses!$B$99,0))*Hypotheses!$B$101)-(MIN(MAX(0,($A68*F$65*Calculateur!$B$54-Calculateur!$B$58-IF(Hypotheses!$B$100="proportionnel",MAX(0,($A68*Calculateur!$B$56+$A68*F$65*Calculateur!$B$57)-Hypotheses!$B$97)/Hypotheses!$B$99,ROUNDUP(MAX(0,($A68*Calculateur!$B$56+$A68*F$65*Calculateur!$B$57)-Hypotheses!$B$97)/Hypotheses!$B$99,0))*Hypotheses!$B$101)*12),Hypotheses!$A$56)*Hypotheses!$B$56+MAX(0,MIN(MAX(0,($A68*F$65*Calculateur!$B$54-Calculateur!$B$58-IF(Hypotheses!$B$100="proportionnel",MAX(0,($A68*Calculateur!$B$56+$A68*F$65*Calculateur!$B$57)-Hypotheses!$B$97)/Hypotheses!$B$99,ROUNDUP(MAX(0,($A68*Calculateur!$B$56+$A68*F$65*Calculateur!$B$57)-Hypotheses!$B$97)/Hypotheses!$B$99,0))*Hypotheses!$B$101)*12),Hypotheses!$A$57)-Hypotheses!$A$56)*Hypotheses!$B$57+MAX(0,MIN(MAX(0,($A68*F$65*Calculateur!$B$54-Calculateur!$B$58-IF(Hypotheses!$B$100="proportionnel",MAX(0,($A68*Calculateur!$B$56+$A68*F$65*Calculateur!$B$57)-Hypotheses!$B$97)/Hypotheses!$B$99,ROUNDUP(MAX(0,($A68*Calculateur!$B$56+$A68*F$65*Calculateur!$B$57)-Hypotheses!$B$97)/Hypotheses!$B$99,0))*Hypotheses!$B$101)*12),Hypotheses!$A$58)-Hypotheses!$A$57)*Hypotheses!$B$58+MAX(0,MAX(0,($A68*F$65*Calculateur!$B$54-Calculateur!$B$58-IF(Hypotheses!$B$100="proportionnel",MAX(0,($A68*Calculateur!$B$56+$A68*F$65*Calculateur!$B$57)-Hypotheses!$B$97)/Hypotheses!$B$99,ROUNDUP(MAX(0,($A68*Calculateur!$B$56+$A68*F$65*Calculateur!$B$57)-Hypotheses!$B$97)/Hypotheses!$B$99,0))*Hypotheses!$B$101)*12)-Hypotheses!$A$58)*Hypotheses!$B$59)*(1+Hypotheses!$B$60)*(1-Hypotheses!$B$61)/12))*Hypotheses!$B$65</f>
        <v/>
      </c>
      <c r="G68" s="21">
        <f>(($A68*G$65*Calculateur!$B$54-Calculateur!$B$58-IF(Hypotheses!$B$100="proportionnel",MAX(0,($A68*Calculateur!$B$56+$A68*G$65*Calculateur!$B$57)-Hypotheses!$B$97)/Hypotheses!$B$99,ROUNDUP(MAX(0,($A68*Calculateur!$B$56+$A68*G$65*Calculateur!$B$57)-Hypotheses!$B$97)/Hypotheses!$B$99,0))*Hypotheses!$B$101)-(MIN(MAX(0,($A68*G$65*Calculateur!$B$54-Calculateur!$B$58-IF(Hypotheses!$B$100="proportionnel",MAX(0,($A68*Calculateur!$B$56+$A68*G$65*Calculateur!$B$57)-Hypotheses!$B$97)/Hypotheses!$B$99,ROUNDUP(MAX(0,($A68*Calculateur!$B$56+$A68*G$65*Calculateur!$B$57)-Hypotheses!$B$97)/Hypotheses!$B$99,0))*Hypotheses!$B$101)*12),Hypotheses!$A$56)*Hypotheses!$B$56+MAX(0,MIN(MAX(0,($A68*G$65*Calculateur!$B$54-Calculateur!$B$58-IF(Hypotheses!$B$100="proportionnel",MAX(0,($A68*Calculateur!$B$56+$A68*G$65*Calculateur!$B$57)-Hypotheses!$B$97)/Hypotheses!$B$99,ROUNDUP(MAX(0,($A68*Calculateur!$B$56+$A68*G$65*Calculateur!$B$57)-Hypotheses!$B$97)/Hypotheses!$B$99,0))*Hypotheses!$B$101)*12),Hypotheses!$A$57)-Hypotheses!$A$56)*Hypotheses!$B$57+MAX(0,MIN(MAX(0,($A68*G$65*Calculateur!$B$54-Calculateur!$B$58-IF(Hypotheses!$B$100="proportionnel",MAX(0,($A68*Calculateur!$B$56+$A68*G$65*Calculateur!$B$57)-Hypotheses!$B$97)/Hypotheses!$B$99,ROUNDUP(MAX(0,($A68*Calculateur!$B$56+$A68*G$65*Calculateur!$B$57)-Hypotheses!$B$97)/Hypotheses!$B$99,0))*Hypotheses!$B$101)*12),Hypotheses!$A$58)-Hypotheses!$A$57)*Hypotheses!$B$58+MAX(0,MAX(0,($A68*G$65*Calculateur!$B$54-Calculateur!$B$58-IF(Hypotheses!$B$100="proportionnel",MAX(0,($A68*Calculateur!$B$56+$A68*G$65*Calculateur!$B$57)-Hypotheses!$B$97)/Hypotheses!$B$99,ROUNDUP(MAX(0,($A68*Calculateur!$B$56+$A68*G$65*Calculateur!$B$57)-Hypotheses!$B$97)/Hypotheses!$B$99,0))*Hypotheses!$B$101)*12)-Hypotheses!$A$58)*Hypotheses!$B$59)*(1+Hypotheses!$B$60)*(1-Hypotheses!$B$61)/12)-MAX(0,(($A68*G$65*Calculateur!$B$54-Calculateur!$B$58-IF(Hypotheses!$B$100="proportionnel",MAX(0,($A68*Calculateur!$B$56+$A68*G$65*Calculateur!$B$57)-Hypotheses!$B$97)/Hypotheses!$B$99,ROUNDUP(MAX(0,($A68*Calculateur!$B$56+$A68*G$65*Calculateur!$B$57)-Hypotheses!$B$97)/Hypotheses!$B$99,0))*Hypotheses!$B$101)-(MIN(MAX(0,($A68*G$65*Calculateur!$B$54-Calculateur!$B$58-IF(Hypotheses!$B$100="proportionnel",MAX(0,($A68*Calculateur!$B$56+$A68*G$65*Calculateur!$B$57)-Hypotheses!$B$97)/Hypotheses!$B$99,ROUNDUP(MAX(0,($A68*Calculateur!$B$56+$A68*G$65*Calculateur!$B$57)-Hypotheses!$B$97)/Hypotheses!$B$99,0))*Hypotheses!$B$101)*12),Hypotheses!$A$56)*Hypotheses!$B$56+MAX(0,MIN(MAX(0,($A68*G$65*Calculateur!$B$54-Calculateur!$B$58-IF(Hypotheses!$B$100="proportionnel",MAX(0,($A68*Calculateur!$B$56+$A68*G$65*Calculateur!$B$57)-Hypotheses!$B$97)/Hypotheses!$B$99,ROUNDUP(MAX(0,($A68*Calculateur!$B$56+$A68*G$65*Calculateur!$B$57)-Hypotheses!$B$97)/Hypotheses!$B$99,0))*Hypotheses!$B$101)*12),Hypotheses!$A$57)-Hypotheses!$A$56)*Hypotheses!$B$57+MAX(0,MIN(MAX(0,($A68*G$65*Calculateur!$B$54-Calculateur!$B$58-IF(Hypotheses!$B$100="proportionnel",MAX(0,($A68*Calculateur!$B$56+$A68*G$65*Calculateur!$B$57)-Hypotheses!$B$97)/Hypotheses!$B$99,ROUNDUP(MAX(0,($A68*Calculateur!$B$56+$A68*G$65*Calculateur!$B$57)-Hypotheses!$B$97)/Hypotheses!$B$99,0))*Hypotheses!$B$101)*12),Hypotheses!$A$58)-Hypotheses!$A$57)*Hypotheses!$B$58+MAX(0,MAX(0,($A68*G$65*Calculateur!$B$54-Calculateur!$B$58-IF(Hypotheses!$B$100="proportionnel",MAX(0,($A68*Calculateur!$B$56+$A68*G$65*Calculateur!$B$57)-Hypotheses!$B$97)/Hypotheses!$B$99,ROUNDUP(MAX(0,($A68*Calculateur!$B$56+$A68*G$65*Calculateur!$B$57)-Hypotheses!$B$97)/Hypotheses!$B$99,0))*Hypotheses!$B$101)*12)-Hypotheses!$A$58)*Hypotheses!$B$59)*(1+Hypotheses!$B$60)*(1-Hypotheses!$B$61)/12))*Hypotheses!$B$65</f>
        <v/>
      </c>
      <c r="H68" s="21">
        <f>(($A68*H$65*Calculateur!$B$54-Calculateur!$B$58-IF(Hypotheses!$B$100="proportionnel",MAX(0,($A68*Calculateur!$B$56+$A68*H$65*Calculateur!$B$57)-Hypotheses!$B$97)/Hypotheses!$B$99,ROUNDUP(MAX(0,($A68*Calculateur!$B$56+$A68*H$65*Calculateur!$B$57)-Hypotheses!$B$97)/Hypotheses!$B$99,0))*Hypotheses!$B$101)-(MIN(MAX(0,($A68*H$65*Calculateur!$B$54-Calculateur!$B$58-IF(Hypotheses!$B$100="proportionnel",MAX(0,($A68*Calculateur!$B$56+$A68*H$65*Calculateur!$B$57)-Hypotheses!$B$97)/Hypotheses!$B$99,ROUNDUP(MAX(0,($A68*Calculateur!$B$56+$A68*H$65*Calculateur!$B$57)-Hypotheses!$B$97)/Hypotheses!$B$99,0))*Hypotheses!$B$101)*12),Hypotheses!$A$56)*Hypotheses!$B$56+MAX(0,MIN(MAX(0,($A68*H$65*Calculateur!$B$54-Calculateur!$B$58-IF(Hypotheses!$B$100="proportionnel",MAX(0,($A68*Calculateur!$B$56+$A68*H$65*Calculateur!$B$57)-Hypotheses!$B$97)/Hypotheses!$B$99,ROUNDUP(MAX(0,($A68*Calculateur!$B$56+$A68*H$65*Calculateur!$B$57)-Hypotheses!$B$97)/Hypotheses!$B$99,0))*Hypotheses!$B$101)*12),Hypotheses!$A$57)-Hypotheses!$A$56)*Hypotheses!$B$57+MAX(0,MIN(MAX(0,($A68*H$65*Calculateur!$B$54-Calculateur!$B$58-IF(Hypotheses!$B$100="proportionnel",MAX(0,($A68*Calculateur!$B$56+$A68*H$65*Calculateur!$B$57)-Hypotheses!$B$97)/Hypotheses!$B$99,ROUNDUP(MAX(0,($A68*Calculateur!$B$56+$A68*H$65*Calculateur!$B$57)-Hypotheses!$B$97)/Hypotheses!$B$99,0))*Hypotheses!$B$101)*12),Hypotheses!$A$58)-Hypotheses!$A$57)*Hypotheses!$B$58+MAX(0,MAX(0,($A68*H$65*Calculateur!$B$54-Calculateur!$B$58-IF(Hypotheses!$B$100="proportionnel",MAX(0,($A68*Calculateur!$B$56+$A68*H$65*Calculateur!$B$57)-Hypotheses!$B$97)/Hypotheses!$B$99,ROUNDUP(MAX(0,($A68*Calculateur!$B$56+$A68*H$65*Calculateur!$B$57)-Hypotheses!$B$97)/Hypotheses!$B$99,0))*Hypotheses!$B$101)*12)-Hypotheses!$A$58)*Hypotheses!$B$59)*(1+Hypotheses!$B$60)*(1-Hypotheses!$B$61)/12)-MAX(0,(($A68*H$65*Calculateur!$B$54-Calculateur!$B$58-IF(Hypotheses!$B$100="proportionnel",MAX(0,($A68*Calculateur!$B$56+$A68*H$65*Calculateur!$B$57)-Hypotheses!$B$97)/Hypotheses!$B$99,ROUNDUP(MAX(0,($A68*Calculateur!$B$56+$A68*H$65*Calculateur!$B$57)-Hypotheses!$B$97)/Hypotheses!$B$99,0))*Hypotheses!$B$101)-(MIN(MAX(0,($A68*H$65*Calculateur!$B$54-Calculateur!$B$58-IF(Hypotheses!$B$100="proportionnel",MAX(0,($A68*Calculateur!$B$56+$A68*H$65*Calculateur!$B$57)-Hypotheses!$B$97)/Hypotheses!$B$99,ROUNDUP(MAX(0,($A68*Calculateur!$B$56+$A68*H$65*Calculateur!$B$57)-Hypotheses!$B$97)/Hypotheses!$B$99,0))*Hypotheses!$B$101)*12),Hypotheses!$A$56)*Hypotheses!$B$56+MAX(0,MIN(MAX(0,($A68*H$65*Calculateur!$B$54-Calculateur!$B$58-IF(Hypotheses!$B$100="proportionnel",MAX(0,($A68*Calculateur!$B$56+$A68*H$65*Calculateur!$B$57)-Hypotheses!$B$97)/Hypotheses!$B$99,ROUNDUP(MAX(0,($A68*Calculateur!$B$56+$A68*H$65*Calculateur!$B$57)-Hypotheses!$B$97)/Hypotheses!$B$99,0))*Hypotheses!$B$101)*12),Hypotheses!$A$57)-Hypotheses!$A$56)*Hypotheses!$B$57+MAX(0,MIN(MAX(0,($A68*H$65*Calculateur!$B$54-Calculateur!$B$58-IF(Hypotheses!$B$100="proportionnel",MAX(0,($A68*Calculateur!$B$56+$A68*H$65*Calculateur!$B$57)-Hypotheses!$B$97)/Hypotheses!$B$99,ROUNDUP(MAX(0,($A68*Calculateur!$B$56+$A68*H$65*Calculateur!$B$57)-Hypotheses!$B$97)/Hypotheses!$B$99,0))*Hypotheses!$B$101)*12),Hypotheses!$A$58)-Hypotheses!$A$57)*Hypotheses!$B$58+MAX(0,MAX(0,($A68*H$65*Calculateur!$B$54-Calculateur!$B$58-IF(Hypotheses!$B$100="proportionnel",MAX(0,($A68*Calculateur!$B$56+$A68*H$65*Calculateur!$B$57)-Hypotheses!$B$97)/Hypotheses!$B$99,ROUNDUP(MAX(0,($A68*Calculateur!$B$56+$A68*H$65*Calculateur!$B$57)-Hypotheses!$B$97)/Hypotheses!$B$99,0))*Hypotheses!$B$101)*12)-Hypotheses!$A$58)*Hypotheses!$B$59)*(1+Hypotheses!$B$60)*(1-Hypotheses!$B$61)/12))*Hypotheses!$B$65</f>
        <v/>
      </c>
      <c r="I68" s="21">
        <f>(($A68*I$65*Calculateur!$B$54-Calculateur!$B$58-IF(Hypotheses!$B$100="proportionnel",MAX(0,($A68*Calculateur!$B$56+$A68*I$65*Calculateur!$B$57)-Hypotheses!$B$97)/Hypotheses!$B$99,ROUNDUP(MAX(0,($A68*Calculateur!$B$56+$A68*I$65*Calculateur!$B$57)-Hypotheses!$B$97)/Hypotheses!$B$99,0))*Hypotheses!$B$101)-(MIN(MAX(0,($A68*I$65*Calculateur!$B$54-Calculateur!$B$58-IF(Hypotheses!$B$100="proportionnel",MAX(0,($A68*Calculateur!$B$56+$A68*I$65*Calculateur!$B$57)-Hypotheses!$B$97)/Hypotheses!$B$99,ROUNDUP(MAX(0,($A68*Calculateur!$B$56+$A68*I$65*Calculateur!$B$57)-Hypotheses!$B$97)/Hypotheses!$B$99,0))*Hypotheses!$B$101)*12),Hypotheses!$A$56)*Hypotheses!$B$56+MAX(0,MIN(MAX(0,($A68*I$65*Calculateur!$B$54-Calculateur!$B$58-IF(Hypotheses!$B$100="proportionnel",MAX(0,($A68*Calculateur!$B$56+$A68*I$65*Calculateur!$B$57)-Hypotheses!$B$97)/Hypotheses!$B$99,ROUNDUP(MAX(0,($A68*Calculateur!$B$56+$A68*I$65*Calculateur!$B$57)-Hypotheses!$B$97)/Hypotheses!$B$99,0))*Hypotheses!$B$101)*12),Hypotheses!$A$57)-Hypotheses!$A$56)*Hypotheses!$B$57+MAX(0,MIN(MAX(0,($A68*I$65*Calculateur!$B$54-Calculateur!$B$58-IF(Hypotheses!$B$100="proportionnel",MAX(0,($A68*Calculateur!$B$56+$A68*I$65*Calculateur!$B$57)-Hypotheses!$B$97)/Hypotheses!$B$99,ROUNDUP(MAX(0,($A68*Calculateur!$B$56+$A68*I$65*Calculateur!$B$57)-Hypotheses!$B$97)/Hypotheses!$B$99,0))*Hypotheses!$B$101)*12),Hypotheses!$A$58)-Hypotheses!$A$57)*Hypotheses!$B$58+MAX(0,MAX(0,($A68*I$65*Calculateur!$B$54-Calculateur!$B$58-IF(Hypotheses!$B$100="proportionnel",MAX(0,($A68*Calculateur!$B$56+$A68*I$65*Calculateur!$B$57)-Hypotheses!$B$97)/Hypotheses!$B$99,ROUNDUP(MAX(0,($A68*Calculateur!$B$56+$A68*I$65*Calculateur!$B$57)-Hypotheses!$B$97)/Hypotheses!$B$99,0))*Hypotheses!$B$101)*12)-Hypotheses!$A$58)*Hypotheses!$B$59)*(1+Hypotheses!$B$60)*(1-Hypotheses!$B$61)/12)-MAX(0,(($A68*I$65*Calculateur!$B$54-Calculateur!$B$58-IF(Hypotheses!$B$100="proportionnel",MAX(0,($A68*Calculateur!$B$56+$A68*I$65*Calculateur!$B$57)-Hypotheses!$B$97)/Hypotheses!$B$99,ROUNDUP(MAX(0,($A68*Calculateur!$B$56+$A68*I$65*Calculateur!$B$57)-Hypotheses!$B$97)/Hypotheses!$B$99,0))*Hypotheses!$B$101)-(MIN(MAX(0,($A68*I$65*Calculateur!$B$54-Calculateur!$B$58-IF(Hypotheses!$B$100="proportionnel",MAX(0,($A68*Calculateur!$B$56+$A68*I$65*Calculateur!$B$57)-Hypotheses!$B$97)/Hypotheses!$B$99,ROUNDUP(MAX(0,($A68*Calculateur!$B$56+$A68*I$65*Calculateur!$B$57)-Hypotheses!$B$97)/Hypotheses!$B$99,0))*Hypotheses!$B$101)*12),Hypotheses!$A$56)*Hypotheses!$B$56+MAX(0,MIN(MAX(0,($A68*I$65*Calculateur!$B$54-Calculateur!$B$58-IF(Hypotheses!$B$100="proportionnel",MAX(0,($A68*Calculateur!$B$56+$A68*I$65*Calculateur!$B$57)-Hypotheses!$B$97)/Hypotheses!$B$99,ROUNDUP(MAX(0,($A68*Calculateur!$B$56+$A68*I$65*Calculateur!$B$57)-Hypotheses!$B$97)/Hypotheses!$B$99,0))*Hypotheses!$B$101)*12),Hypotheses!$A$57)-Hypotheses!$A$56)*Hypotheses!$B$57+MAX(0,MIN(MAX(0,($A68*I$65*Calculateur!$B$54-Calculateur!$B$58-IF(Hypotheses!$B$100="proportionnel",MAX(0,($A68*Calculateur!$B$56+$A68*I$65*Calculateur!$B$57)-Hypotheses!$B$97)/Hypotheses!$B$99,ROUNDUP(MAX(0,($A68*Calculateur!$B$56+$A68*I$65*Calculateur!$B$57)-Hypotheses!$B$97)/Hypotheses!$B$99,0))*Hypotheses!$B$101)*12),Hypotheses!$A$58)-Hypotheses!$A$57)*Hypotheses!$B$58+MAX(0,MAX(0,($A68*I$65*Calculateur!$B$54-Calculateur!$B$58-IF(Hypotheses!$B$100="proportionnel",MAX(0,($A68*Calculateur!$B$56+$A68*I$65*Calculateur!$B$57)-Hypotheses!$B$97)/Hypotheses!$B$99,ROUNDUP(MAX(0,($A68*Calculateur!$B$56+$A68*I$65*Calculateur!$B$57)-Hypotheses!$B$97)/Hypotheses!$B$99,0))*Hypotheses!$B$101)*12)-Hypotheses!$A$58)*Hypotheses!$B$59)*(1+Hypotheses!$B$60)*(1-Hypotheses!$B$61)/12))*Hypotheses!$B$65</f>
        <v/>
      </c>
    </row>
    <row r="69">
      <c r="A69" s="36" t="n">
        <v>20</v>
      </c>
      <c r="B69" s="21">
        <f>(($A69*B$65*Calculateur!$B$54-Calculateur!$B$58-IF(Hypotheses!$B$100="proportionnel",MAX(0,($A69*Calculateur!$B$56+$A69*B$65*Calculateur!$B$57)-Hypotheses!$B$97)/Hypotheses!$B$99,ROUNDUP(MAX(0,($A69*Calculateur!$B$56+$A69*B$65*Calculateur!$B$57)-Hypotheses!$B$97)/Hypotheses!$B$99,0))*Hypotheses!$B$101)-(MIN(MAX(0,($A69*B$65*Calculateur!$B$54-Calculateur!$B$58-IF(Hypotheses!$B$100="proportionnel",MAX(0,($A69*Calculateur!$B$56+$A69*B$65*Calculateur!$B$57)-Hypotheses!$B$97)/Hypotheses!$B$99,ROUNDUP(MAX(0,($A69*Calculateur!$B$56+$A69*B$65*Calculateur!$B$57)-Hypotheses!$B$97)/Hypotheses!$B$99,0))*Hypotheses!$B$101)*12),Hypotheses!$A$56)*Hypotheses!$B$56+MAX(0,MIN(MAX(0,($A69*B$65*Calculateur!$B$54-Calculateur!$B$58-IF(Hypotheses!$B$100="proportionnel",MAX(0,($A69*Calculateur!$B$56+$A69*B$65*Calculateur!$B$57)-Hypotheses!$B$97)/Hypotheses!$B$99,ROUNDUP(MAX(0,($A69*Calculateur!$B$56+$A69*B$65*Calculateur!$B$57)-Hypotheses!$B$97)/Hypotheses!$B$99,0))*Hypotheses!$B$101)*12),Hypotheses!$A$57)-Hypotheses!$A$56)*Hypotheses!$B$57+MAX(0,MIN(MAX(0,($A69*B$65*Calculateur!$B$54-Calculateur!$B$58-IF(Hypotheses!$B$100="proportionnel",MAX(0,($A69*Calculateur!$B$56+$A69*B$65*Calculateur!$B$57)-Hypotheses!$B$97)/Hypotheses!$B$99,ROUNDUP(MAX(0,($A69*Calculateur!$B$56+$A69*B$65*Calculateur!$B$57)-Hypotheses!$B$97)/Hypotheses!$B$99,0))*Hypotheses!$B$101)*12),Hypotheses!$A$58)-Hypotheses!$A$57)*Hypotheses!$B$58+MAX(0,MAX(0,($A69*B$65*Calculateur!$B$54-Calculateur!$B$58-IF(Hypotheses!$B$100="proportionnel",MAX(0,($A69*Calculateur!$B$56+$A69*B$65*Calculateur!$B$57)-Hypotheses!$B$97)/Hypotheses!$B$99,ROUNDUP(MAX(0,($A69*Calculateur!$B$56+$A69*B$65*Calculateur!$B$57)-Hypotheses!$B$97)/Hypotheses!$B$99,0))*Hypotheses!$B$101)*12)-Hypotheses!$A$58)*Hypotheses!$B$59)*(1+Hypotheses!$B$60)*(1-Hypotheses!$B$61)/12)-MAX(0,(($A69*B$65*Calculateur!$B$54-Calculateur!$B$58-IF(Hypotheses!$B$100="proportionnel",MAX(0,($A69*Calculateur!$B$56+$A69*B$65*Calculateur!$B$57)-Hypotheses!$B$97)/Hypotheses!$B$99,ROUNDUP(MAX(0,($A69*Calculateur!$B$56+$A69*B$65*Calculateur!$B$57)-Hypotheses!$B$97)/Hypotheses!$B$99,0))*Hypotheses!$B$101)-(MIN(MAX(0,($A69*B$65*Calculateur!$B$54-Calculateur!$B$58-IF(Hypotheses!$B$100="proportionnel",MAX(0,($A69*Calculateur!$B$56+$A69*B$65*Calculateur!$B$57)-Hypotheses!$B$97)/Hypotheses!$B$99,ROUNDUP(MAX(0,($A69*Calculateur!$B$56+$A69*B$65*Calculateur!$B$57)-Hypotheses!$B$97)/Hypotheses!$B$99,0))*Hypotheses!$B$101)*12),Hypotheses!$A$56)*Hypotheses!$B$56+MAX(0,MIN(MAX(0,($A69*B$65*Calculateur!$B$54-Calculateur!$B$58-IF(Hypotheses!$B$100="proportionnel",MAX(0,($A69*Calculateur!$B$56+$A69*B$65*Calculateur!$B$57)-Hypotheses!$B$97)/Hypotheses!$B$99,ROUNDUP(MAX(0,($A69*Calculateur!$B$56+$A69*B$65*Calculateur!$B$57)-Hypotheses!$B$97)/Hypotheses!$B$99,0))*Hypotheses!$B$101)*12),Hypotheses!$A$57)-Hypotheses!$A$56)*Hypotheses!$B$57+MAX(0,MIN(MAX(0,($A69*B$65*Calculateur!$B$54-Calculateur!$B$58-IF(Hypotheses!$B$100="proportionnel",MAX(0,($A69*Calculateur!$B$56+$A69*B$65*Calculateur!$B$57)-Hypotheses!$B$97)/Hypotheses!$B$99,ROUNDUP(MAX(0,($A69*Calculateur!$B$56+$A69*B$65*Calculateur!$B$57)-Hypotheses!$B$97)/Hypotheses!$B$99,0))*Hypotheses!$B$101)*12),Hypotheses!$A$58)-Hypotheses!$A$57)*Hypotheses!$B$58+MAX(0,MAX(0,($A69*B$65*Calculateur!$B$54-Calculateur!$B$58-IF(Hypotheses!$B$100="proportionnel",MAX(0,($A69*Calculateur!$B$56+$A69*B$65*Calculateur!$B$57)-Hypotheses!$B$97)/Hypotheses!$B$99,ROUNDUP(MAX(0,($A69*Calculateur!$B$56+$A69*B$65*Calculateur!$B$57)-Hypotheses!$B$97)/Hypotheses!$B$99,0))*Hypotheses!$B$101)*12)-Hypotheses!$A$58)*Hypotheses!$B$59)*(1+Hypotheses!$B$60)*(1-Hypotheses!$B$61)/12))*Hypotheses!$B$65</f>
        <v/>
      </c>
      <c r="C69" s="21">
        <f>(($A69*C$65*Calculateur!$B$54-Calculateur!$B$58-IF(Hypotheses!$B$100="proportionnel",MAX(0,($A69*Calculateur!$B$56+$A69*C$65*Calculateur!$B$57)-Hypotheses!$B$97)/Hypotheses!$B$99,ROUNDUP(MAX(0,($A69*Calculateur!$B$56+$A69*C$65*Calculateur!$B$57)-Hypotheses!$B$97)/Hypotheses!$B$99,0))*Hypotheses!$B$101)-(MIN(MAX(0,($A69*C$65*Calculateur!$B$54-Calculateur!$B$58-IF(Hypotheses!$B$100="proportionnel",MAX(0,($A69*Calculateur!$B$56+$A69*C$65*Calculateur!$B$57)-Hypotheses!$B$97)/Hypotheses!$B$99,ROUNDUP(MAX(0,($A69*Calculateur!$B$56+$A69*C$65*Calculateur!$B$57)-Hypotheses!$B$97)/Hypotheses!$B$99,0))*Hypotheses!$B$101)*12),Hypotheses!$A$56)*Hypotheses!$B$56+MAX(0,MIN(MAX(0,($A69*C$65*Calculateur!$B$54-Calculateur!$B$58-IF(Hypotheses!$B$100="proportionnel",MAX(0,($A69*Calculateur!$B$56+$A69*C$65*Calculateur!$B$57)-Hypotheses!$B$97)/Hypotheses!$B$99,ROUNDUP(MAX(0,($A69*Calculateur!$B$56+$A69*C$65*Calculateur!$B$57)-Hypotheses!$B$97)/Hypotheses!$B$99,0))*Hypotheses!$B$101)*12),Hypotheses!$A$57)-Hypotheses!$A$56)*Hypotheses!$B$57+MAX(0,MIN(MAX(0,($A69*C$65*Calculateur!$B$54-Calculateur!$B$58-IF(Hypotheses!$B$100="proportionnel",MAX(0,($A69*Calculateur!$B$56+$A69*C$65*Calculateur!$B$57)-Hypotheses!$B$97)/Hypotheses!$B$99,ROUNDUP(MAX(0,($A69*Calculateur!$B$56+$A69*C$65*Calculateur!$B$57)-Hypotheses!$B$97)/Hypotheses!$B$99,0))*Hypotheses!$B$101)*12),Hypotheses!$A$58)-Hypotheses!$A$57)*Hypotheses!$B$58+MAX(0,MAX(0,($A69*C$65*Calculateur!$B$54-Calculateur!$B$58-IF(Hypotheses!$B$100="proportionnel",MAX(0,($A69*Calculateur!$B$56+$A69*C$65*Calculateur!$B$57)-Hypotheses!$B$97)/Hypotheses!$B$99,ROUNDUP(MAX(0,($A69*Calculateur!$B$56+$A69*C$65*Calculateur!$B$57)-Hypotheses!$B$97)/Hypotheses!$B$99,0))*Hypotheses!$B$101)*12)-Hypotheses!$A$58)*Hypotheses!$B$59)*(1+Hypotheses!$B$60)*(1-Hypotheses!$B$61)/12)-MAX(0,(($A69*C$65*Calculateur!$B$54-Calculateur!$B$58-IF(Hypotheses!$B$100="proportionnel",MAX(0,($A69*Calculateur!$B$56+$A69*C$65*Calculateur!$B$57)-Hypotheses!$B$97)/Hypotheses!$B$99,ROUNDUP(MAX(0,($A69*Calculateur!$B$56+$A69*C$65*Calculateur!$B$57)-Hypotheses!$B$97)/Hypotheses!$B$99,0))*Hypotheses!$B$101)-(MIN(MAX(0,($A69*C$65*Calculateur!$B$54-Calculateur!$B$58-IF(Hypotheses!$B$100="proportionnel",MAX(0,($A69*Calculateur!$B$56+$A69*C$65*Calculateur!$B$57)-Hypotheses!$B$97)/Hypotheses!$B$99,ROUNDUP(MAX(0,($A69*Calculateur!$B$56+$A69*C$65*Calculateur!$B$57)-Hypotheses!$B$97)/Hypotheses!$B$99,0))*Hypotheses!$B$101)*12),Hypotheses!$A$56)*Hypotheses!$B$56+MAX(0,MIN(MAX(0,($A69*C$65*Calculateur!$B$54-Calculateur!$B$58-IF(Hypotheses!$B$100="proportionnel",MAX(0,($A69*Calculateur!$B$56+$A69*C$65*Calculateur!$B$57)-Hypotheses!$B$97)/Hypotheses!$B$99,ROUNDUP(MAX(0,($A69*Calculateur!$B$56+$A69*C$65*Calculateur!$B$57)-Hypotheses!$B$97)/Hypotheses!$B$99,0))*Hypotheses!$B$101)*12),Hypotheses!$A$57)-Hypotheses!$A$56)*Hypotheses!$B$57+MAX(0,MIN(MAX(0,($A69*C$65*Calculateur!$B$54-Calculateur!$B$58-IF(Hypotheses!$B$100="proportionnel",MAX(0,($A69*Calculateur!$B$56+$A69*C$65*Calculateur!$B$57)-Hypotheses!$B$97)/Hypotheses!$B$99,ROUNDUP(MAX(0,($A69*Calculateur!$B$56+$A69*C$65*Calculateur!$B$57)-Hypotheses!$B$97)/Hypotheses!$B$99,0))*Hypotheses!$B$101)*12),Hypotheses!$A$58)-Hypotheses!$A$57)*Hypotheses!$B$58+MAX(0,MAX(0,($A69*C$65*Calculateur!$B$54-Calculateur!$B$58-IF(Hypotheses!$B$100="proportionnel",MAX(0,($A69*Calculateur!$B$56+$A69*C$65*Calculateur!$B$57)-Hypotheses!$B$97)/Hypotheses!$B$99,ROUNDUP(MAX(0,($A69*Calculateur!$B$56+$A69*C$65*Calculateur!$B$57)-Hypotheses!$B$97)/Hypotheses!$B$99,0))*Hypotheses!$B$101)*12)-Hypotheses!$A$58)*Hypotheses!$B$59)*(1+Hypotheses!$B$60)*(1-Hypotheses!$B$61)/12))*Hypotheses!$B$65</f>
        <v/>
      </c>
      <c r="D69" s="21">
        <f>(($A69*D$65*Calculateur!$B$54-Calculateur!$B$58-IF(Hypotheses!$B$100="proportionnel",MAX(0,($A69*Calculateur!$B$56+$A69*D$65*Calculateur!$B$57)-Hypotheses!$B$97)/Hypotheses!$B$99,ROUNDUP(MAX(0,($A69*Calculateur!$B$56+$A69*D$65*Calculateur!$B$57)-Hypotheses!$B$97)/Hypotheses!$B$99,0))*Hypotheses!$B$101)-(MIN(MAX(0,($A69*D$65*Calculateur!$B$54-Calculateur!$B$58-IF(Hypotheses!$B$100="proportionnel",MAX(0,($A69*Calculateur!$B$56+$A69*D$65*Calculateur!$B$57)-Hypotheses!$B$97)/Hypotheses!$B$99,ROUNDUP(MAX(0,($A69*Calculateur!$B$56+$A69*D$65*Calculateur!$B$57)-Hypotheses!$B$97)/Hypotheses!$B$99,0))*Hypotheses!$B$101)*12),Hypotheses!$A$56)*Hypotheses!$B$56+MAX(0,MIN(MAX(0,($A69*D$65*Calculateur!$B$54-Calculateur!$B$58-IF(Hypotheses!$B$100="proportionnel",MAX(0,($A69*Calculateur!$B$56+$A69*D$65*Calculateur!$B$57)-Hypotheses!$B$97)/Hypotheses!$B$99,ROUNDUP(MAX(0,($A69*Calculateur!$B$56+$A69*D$65*Calculateur!$B$57)-Hypotheses!$B$97)/Hypotheses!$B$99,0))*Hypotheses!$B$101)*12),Hypotheses!$A$57)-Hypotheses!$A$56)*Hypotheses!$B$57+MAX(0,MIN(MAX(0,($A69*D$65*Calculateur!$B$54-Calculateur!$B$58-IF(Hypotheses!$B$100="proportionnel",MAX(0,($A69*Calculateur!$B$56+$A69*D$65*Calculateur!$B$57)-Hypotheses!$B$97)/Hypotheses!$B$99,ROUNDUP(MAX(0,($A69*Calculateur!$B$56+$A69*D$65*Calculateur!$B$57)-Hypotheses!$B$97)/Hypotheses!$B$99,0))*Hypotheses!$B$101)*12),Hypotheses!$A$58)-Hypotheses!$A$57)*Hypotheses!$B$58+MAX(0,MAX(0,($A69*D$65*Calculateur!$B$54-Calculateur!$B$58-IF(Hypotheses!$B$100="proportionnel",MAX(0,($A69*Calculateur!$B$56+$A69*D$65*Calculateur!$B$57)-Hypotheses!$B$97)/Hypotheses!$B$99,ROUNDUP(MAX(0,($A69*Calculateur!$B$56+$A69*D$65*Calculateur!$B$57)-Hypotheses!$B$97)/Hypotheses!$B$99,0))*Hypotheses!$B$101)*12)-Hypotheses!$A$58)*Hypotheses!$B$59)*(1+Hypotheses!$B$60)*(1-Hypotheses!$B$61)/12)-MAX(0,(($A69*D$65*Calculateur!$B$54-Calculateur!$B$58-IF(Hypotheses!$B$100="proportionnel",MAX(0,($A69*Calculateur!$B$56+$A69*D$65*Calculateur!$B$57)-Hypotheses!$B$97)/Hypotheses!$B$99,ROUNDUP(MAX(0,($A69*Calculateur!$B$56+$A69*D$65*Calculateur!$B$57)-Hypotheses!$B$97)/Hypotheses!$B$99,0))*Hypotheses!$B$101)-(MIN(MAX(0,($A69*D$65*Calculateur!$B$54-Calculateur!$B$58-IF(Hypotheses!$B$100="proportionnel",MAX(0,($A69*Calculateur!$B$56+$A69*D$65*Calculateur!$B$57)-Hypotheses!$B$97)/Hypotheses!$B$99,ROUNDUP(MAX(0,($A69*Calculateur!$B$56+$A69*D$65*Calculateur!$B$57)-Hypotheses!$B$97)/Hypotheses!$B$99,0))*Hypotheses!$B$101)*12),Hypotheses!$A$56)*Hypotheses!$B$56+MAX(0,MIN(MAX(0,($A69*D$65*Calculateur!$B$54-Calculateur!$B$58-IF(Hypotheses!$B$100="proportionnel",MAX(0,($A69*Calculateur!$B$56+$A69*D$65*Calculateur!$B$57)-Hypotheses!$B$97)/Hypotheses!$B$99,ROUNDUP(MAX(0,($A69*Calculateur!$B$56+$A69*D$65*Calculateur!$B$57)-Hypotheses!$B$97)/Hypotheses!$B$99,0))*Hypotheses!$B$101)*12),Hypotheses!$A$57)-Hypotheses!$A$56)*Hypotheses!$B$57+MAX(0,MIN(MAX(0,($A69*D$65*Calculateur!$B$54-Calculateur!$B$58-IF(Hypotheses!$B$100="proportionnel",MAX(0,($A69*Calculateur!$B$56+$A69*D$65*Calculateur!$B$57)-Hypotheses!$B$97)/Hypotheses!$B$99,ROUNDUP(MAX(0,($A69*Calculateur!$B$56+$A69*D$65*Calculateur!$B$57)-Hypotheses!$B$97)/Hypotheses!$B$99,0))*Hypotheses!$B$101)*12),Hypotheses!$A$58)-Hypotheses!$A$57)*Hypotheses!$B$58+MAX(0,MAX(0,($A69*D$65*Calculateur!$B$54-Calculateur!$B$58-IF(Hypotheses!$B$100="proportionnel",MAX(0,($A69*Calculateur!$B$56+$A69*D$65*Calculateur!$B$57)-Hypotheses!$B$97)/Hypotheses!$B$99,ROUNDUP(MAX(0,($A69*Calculateur!$B$56+$A69*D$65*Calculateur!$B$57)-Hypotheses!$B$97)/Hypotheses!$B$99,0))*Hypotheses!$B$101)*12)-Hypotheses!$A$58)*Hypotheses!$B$59)*(1+Hypotheses!$B$60)*(1-Hypotheses!$B$61)/12))*Hypotheses!$B$65</f>
        <v/>
      </c>
      <c r="E69" s="21">
        <f>(($A69*E$65*Calculateur!$B$54-Calculateur!$B$58-IF(Hypotheses!$B$100="proportionnel",MAX(0,($A69*Calculateur!$B$56+$A69*E$65*Calculateur!$B$57)-Hypotheses!$B$97)/Hypotheses!$B$99,ROUNDUP(MAX(0,($A69*Calculateur!$B$56+$A69*E$65*Calculateur!$B$57)-Hypotheses!$B$97)/Hypotheses!$B$99,0))*Hypotheses!$B$101)-(MIN(MAX(0,($A69*E$65*Calculateur!$B$54-Calculateur!$B$58-IF(Hypotheses!$B$100="proportionnel",MAX(0,($A69*Calculateur!$B$56+$A69*E$65*Calculateur!$B$57)-Hypotheses!$B$97)/Hypotheses!$B$99,ROUNDUP(MAX(0,($A69*Calculateur!$B$56+$A69*E$65*Calculateur!$B$57)-Hypotheses!$B$97)/Hypotheses!$B$99,0))*Hypotheses!$B$101)*12),Hypotheses!$A$56)*Hypotheses!$B$56+MAX(0,MIN(MAX(0,($A69*E$65*Calculateur!$B$54-Calculateur!$B$58-IF(Hypotheses!$B$100="proportionnel",MAX(0,($A69*Calculateur!$B$56+$A69*E$65*Calculateur!$B$57)-Hypotheses!$B$97)/Hypotheses!$B$99,ROUNDUP(MAX(0,($A69*Calculateur!$B$56+$A69*E$65*Calculateur!$B$57)-Hypotheses!$B$97)/Hypotheses!$B$99,0))*Hypotheses!$B$101)*12),Hypotheses!$A$57)-Hypotheses!$A$56)*Hypotheses!$B$57+MAX(0,MIN(MAX(0,($A69*E$65*Calculateur!$B$54-Calculateur!$B$58-IF(Hypotheses!$B$100="proportionnel",MAX(0,($A69*Calculateur!$B$56+$A69*E$65*Calculateur!$B$57)-Hypotheses!$B$97)/Hypotheses!$B$99,ROUNDUP(MAX(0,($A69*Calculateur!$B$56+$A69*E$65*Calculateur!$B$57)-Hypotheses!$B$97)/Hypotheses!$B$99,0))*Hypotheses!$B$101)*12),Hypotheses!$A$58)-Hypotheses!$A$57)*Hypotheses!$B$58+MAX(0,MAX(0,($A69*E$65*Calculateur!$B$54-Calculateur!$B$58-IF(Hypotheses!$B$100="proportionnel",MAX(0,($A69*Calculateur!$B$56+$A69*E$65*Calculateur!$B$57)-Hypotheses!$B$97)/Hypotheses!$B$99,ROUNDUP(MAX(0,($A69*Calculateur!$B$56+$A69*E$65*Calculateur!$B$57)-Hypotheses!$B$97)/Hypotheses!$B$99,0))*Hypotheses!$B$101)*12)-Hypotheses!$A$58)*Hypotheses!$B$59)*(1+Hypotheses!$B$60)*(1-Hypotheses!$B$61)/12)-MAX(0,(($A69*E$65*Calculateur!$B$54-Calculateur!$B$58-IF(Hypotheses!$B$100="proportionnel",MAX(0,($A69*Calculateur!$B$56+$A69*E$65*Calculateur!$B$57)-Hypotheses!$B$97)/Hypotheses!$B$99,ROUNDUP(MAX(0,($A69*Calculateur!$B$56+$A69*E$65*Calculateur!$B$57)-Hypotheses!$B$97)/Hypotheses!$B$99,0))*Hypotheses!$B$101)-(MIN(MAX(0,($A69*E$65*Calculateur!$B$54-Calculateur!$B$58-IF(Hypotheses!$B$100="proportionnel",MAX(0,($A69*Calculateur!$B$56+$A69*E$65*Calculateur!$B$57)-Hypotheses!$B$97)/Hypotheses!$B$99,ROUNDUP(MAX(0,($A69*Calculateur!$B$56+$A69*E$65*Calculateur!$B$57)-Hypotheses!$B$97)/Hypotheses!$B$99,0))*Hypotheses!$B$101)*12),Hypotheses!$A$56)*Hypotheses!$B$56+MAX(0,MIN(MAX(0,($A69*E$65*Calculateur!$B$54-Calculateur!$B$58-IF(Hypotheses!$B$100="proportionnel",MAX(0,($A69*Calculateur!$B$56+$A69*E$65*Calculateur!$B$57)-Hypotheses!$B$97)/Hypotheses!$B$99,ROUNDUP(MAX(0,($A69*Calculateur!$B$56+$A69*E$65*Calculateur!$B$57)-Hypotheses!$B$97)/Hypotheses!$B$99,0))*Hypotheses!$B$101)*12),Hypotheses!$A$57)-Hypotheses!$A$56)*Hypotheses!$B$57+MAX(0,MIN(MAX(0,($A69*E$65*Calculateur!$B$54-Calculateur!$B$58-IF(Hypotheses!$B$100="proportionnel",MAX(0,($A69*Calculateur!$B$56+$A69*E$65*Calculateur!$B$57)-Hypotheses!$B$97)/Hypotheses!$B$99,ROUNDUP(MAX(0,($A69*Calculateur!$B$56+$A69*E$65*Calculateur!$B$57)-Hypotheses!$B$97)/Hypotheses!$B$99,0))*Hypotheses!$B$101)*12),Hypotheses!$A$58)-Hypotheses!$A$57)*Hypotheses!$B$58+MAX(0,MAX(0,($A69*E$65*Calculateur!$B$54-Calculateur!$B$58-IF(Hypotheses!$B$100="proportionnel",MAX(0,($A69*Calculateur!$B$56+$A69*E$65*Calculateur!$B$57)-Hypotheses!$B$97)/Hypotheses!$B$99,ROUNDUP(MAX(0,($A69*Calculateur!$B$56+$A69*E$65*Calculateur!$B$57)-Hypotheses!$B$97)/Hypotheses!$B$99,0))*Hypotheses!$B$101)*12)-Hypotheses!$A$58)*Hypotheses!$B$59)*(1+Hypotheses!$B$60)*(1-Hypotheses!$B$61)/12))*Hypotheses!$B$65</f>
        <v/>
      </c>
      <c r="F69" s="21">
        <f>(($A69*F$65*Calculateur!$B$54-Calculateur!$B$58-IF(Hypotheses!$B$100="proportionnel",MAX(0,($A69*Calculateur!$B$56+$A69*F$65*Calculateur!$B$57)-Hypotheses!$B$97)/Hypotheses!$B$99,ROUNDUP(MAX(0,($A69*Calculateur!$B$56+$A69*F$65*Calculateur!$B$57)-Hypotheses!$B$97)/Hypotheses!$B$99,0))*Hypotheses!$B$101)-(MIN(MAX(0,($A69*F$65*Calculateur!$B$54-Calculateur!$B$58-IF(Hypotheses!$B$100="proportionnel",MAX(0,($A69*Calculateur!$B$56+$A69*F$65*Calculateur!$B$57)-Hypotheses!$B$97)/Hypotheses!$B$99,ROUNDUP(MAX(0,($A69*Calculateur!$B$56+$A69*F$65*Calculateur!$B$57)-Hypotheses!$B$97)/Hypotheses!$B$99,0))*Hypotheses!$B$101)*12),Hypotheses!$A$56)*Hypotheses!$B$56+MAX(0,MIN(MAX(0,($A69*F$65*Calculateur!$B$54-Calculateur!$B$58-IF(Hypotheses!$B$100="proportionnel",MAX(0,($A69*Calculateur!$B$56+$A69*F$65*Calculateur!$B$57)-Hypotheses!$B$97)/Hypotheses!$B$99,ROUNDUP(MAX(0,($A69*Calculateur!$B$56+$A69*F$65*Calculateur!$B$57)-Hypotheses!$B$97)/Hypotheses!$B$99,0))*Hypotheses!$B$101)*12),Hypotheses!$A$57)-Hypotheses!$A$56)*Hypotheses!$B$57+MAX(0,MIN(MAX(0,($A69*F$65*Calculateur!$B$54-Calculateur!$B$58-IF(Hypotheses!$B$100="proportionnel",MAX(0,($A69*Calculateur!$B$56+$A69*F$65*Calculateur!$B$57)-Hypotheses!$B$97)/Hypotheses!$B$99,ROUNDUP(MAX(0,($A69*Calculateur!$B$56+$A69*F$65*Calculateur!$B$57)-Hypotheses!$B$97)/Hypotheses!$B$99,0))*Hypotheses!$B$101)*12),Hypotheses!$A$58)-Hypotheses!$A$57)*Hypotheses!$B$58+MAX(0,MAX(0,($A69*F$65*Calculateur!$B$54-Calculateur!$B$58-IF(Hypotheses!$B$100="proportionnel",MAX(0,($A69*Calculateur!$B$56+$A69*F$65*Calculateur!$B$57)-Hypotheses!$B$97)/Hypotheses!$B$99,ROUNDUP(MAX(0,($A69*Calculateur!$B$56+$A69*F$65*Calculateur!$B$57)-Hypotheses!$B$97)/Hypotheses!$B$99,0))*Hypotheses!$B$101)*12)-Hypotheses!$A$58)*Hypotheses!$B$59)*(1+Hypotheses!$B$60)*(1-Hypotheses!$B$61)/12)-MAX(0,(($A69*F$65*Calculateur!$B$54-Calculateur!$B$58-IF(Hypotheses!$B$100="proportionnel",MAX(0,($A69*Calculateur!$B$56+$A69*F$65*Calculateur!$B$57)-Hypotheses!$B$97)/Hypotheses!$B$99,ROUNDUP(MAX(0,($A69*Calculateur!$B$56+$A69*F$65*Calculateur!$B$57)-Hypotheses!$B$97)/Hypotheses!$B$99,0))*Hypotheses!$B$101)-(MIN(MAX(0,($A69*F$65*Calculateur!$B$54-Calculateur!$B$58-IF(Hypotheses!$B$100="proportionnel",MAX(0,($A69*Calculateur!$B$56+$A69*F$65*Calculateur!$B$57)-Hypotheses!$B$97)/Hypotheses!$B$99,ROUNDUP(MAX(0,($A69*Calculateur!$B$56+$A69*F$65*Calculateur!$B$57)-Hypotheses!$B$97)/Hypotheses!$B$99,0))*Hypotheses!$B$101)*12),Hypotheses!$A$56)*Hypotheses!$B$56+MAX(0,MIN(MAX(0,($A69*F$65*Calculateur!$B$54-Calculateur!$B$58-IF(Hypotheses!$B$100="proportionnel",MAX(0,($A69*Calculateur!$B$56+$A69*F$65*Calculateur!$B$57)-Hypotheses!$B$97)/Hypotheses!$B$99,ROUNDUP(MAX(0,($A69*Calculateur!$B$56+$A69*F$65*Calculateur!$B$57)-Hypotheses!$B$97)/Hypotheses!$B$99,0))*Hypotheses!$B$101)*12),Hypotheses!$A$57)-Hypotheses!$A$56)*Hypotheses!$B$57+MAX(0,MIN(MAX(0,($A69*F$65*Calculateur!$B$54-Calculateur!$B$58-IF(Hypotheses!$B$100="proportionnel",MAX(0,($A69*Calculateur!$B$56+$A69*F$65*Calculateur!$B$57)-Hypotheses!$B$97)/Hypotheses!$B$99,ROUNDUP(MAX(0,($A69*Calculateur!$B$56+$A69*F$65*Calculateur!$B$57)-Hypotheses!$B$97)/Hypotheses!$B$99,0))*Hypotheses!$B$101)*12),Hypotheses!$A$58)-Hypotheses!$A$57)*Hypotheses!$B$58+MAX(0,MAX(0,($A69*F$65*Calculateur!$B$54-Calculateur!$B$58-IF(Hypotheses!$B$100="proportionnel",MAX(0,($A69*Calculateur!$B$56+$A69*F$65*Calculateur!$B$57)-Hypotheses!$B$97)/Hypotheses!$B$99,ROUNDUP(MAX(0,($A69*Calculateur!$B$56+$A69*F$65*Calculateur!$B$57)-Hypotheses!$B$97)/Hypotheses!$B$99,0))*Hypotheses!$B$101)*12)-Hypotheses!$A$58)*Hypotheses!$B$59)*(1+Hypotheses!$B$60)*(1-Hypotheses!$B$61)/12))*Hypotheses!$B$65</f>
        <v/>
      </c>
      <c r="G69" s="21">
        <f>(($A69*G$65*Calculateur!$B$54-Calculateur!$B$58-IF(Hypotheses!$B$100="proportionnel",MAX(0,($A69*Calculateur!$B$56+$A69*G$65*Calculateur!$B$57)-Hypotheses!$B$97)/Hypotheses!$B$99,ROUNDUP(MAX(0,($A69*Calculateur!$B$56+$A69*G$65*Calculateur!$B$57)-Hypotheses!$B$97)/Hypotheses!$B$99,0))*Hypotheses!$B$101)-(MIN(MAX(0,($A69*G$65*Calculateur!$B$54-Calculateur!$B$58-IF(Hypotheses!$B$100="proportionnel",MAX(0,($A69*Calculateur!$B$56+$A69*G$65*Calculateur!$B$57)-Hypotheses!$B$97)/Hypotheses!$B$99,ROUNDUP(MAX(0,($A69*Calculateur!$B$56+$A69*G$65*Calculateur!$B$57)-Hypotheses!$B$97)/Hypotheses!$B$99,0))*Hypotheses!$B$101)*12),Hypotheses!$A$56)*Hypotheses!$B$56+MAX(0,MIN(MAX(0,($A69*G$65*Calculateur!$B$54-Calculateur!$B$58-IF(Hypotheses!$B$100="proportionnel",MAX(0,($A69*Calculateur!$B$56+$A69*G$65*Calculateur!$B$57)-Hypotheses!$B$97)/Hypotheses!$B$99,ROUNDUP(MAX(0,($A69*Calculateur!$B$56+$A69*G$65*Calculateur!$B$57)-Hypotheses!$B$97)/Hypotheses!$B$99,0))*Hypotheses!$B$101)*12),Hypotheses!$A$57)-Hypotheses!$A$56)*Hypotheses!$B$57+MAX(0,MIN(MAX(0,($A69*G$65*Calculateur!$B$54-Calculateur!$B$58-IF(Hypotheses!$B$100="proportionnel",MAX(0,($A69*Calculateur!$B$56+$A69*G$65*Calculateur!$B$57)-Hypotheses!$B$97)/Hypotheses!$B$99,ROUNDUP(MAX(0,($A69*Calculateur!$B$56+$A69*G$65*Calculateur!$B$57)-Hypotheses!$B$97)/Hypotheses!$B$99,0))*Hypotheses!$B$101)*12),Hypotheses!$A$58)-Hypotheses!$A$57)*Hypotheses!$B$58+MAX(0,MAX(0,($A69*G$65*Calculateur!$B$54-Calculateur!$B$58-IF(Hypotheses!$B$100="proportionnel",MAX(0,($A69*Calculateur!$B$56+$A69*G$65*Calculateur!$B$57)-Hypotheses!$B$97)/Hypotheses!$B$99,ROUNDUP(MAX(0,($A69*Calculateur!$B$56+$A69*G$65*Calculateur!$B$57)-Hypotheses!$B$97)/Hypotheses!$B$99,0))*Hypotheses!$B$101)*12)-Hypotheses!$A$58)*Hypotheses!$B$59)*(1+Hypotheses!$B$60)*(1-Hypotheses!$B$61)/12)-MAX(0,(($A69*G$65*Calculateur!$B$54-Calculateur!$B$58-IF(Hypotheses!$B$100="proportionnel",MAX(0,($A69*Calculateur!$B$56+$A69*G$65*Calculateur!$B$57)-Hypotheses!$B$97)/Hypotheses!$B$99,ROUNDUP(MAX(0,($A69*Calculateur!$B$56+$A69*G$65*Calculateur!$B$57)-Hypotheses!$B$97)/Hypotheses!$B$99,0))*Hypotheses!$B$101)-(MIN(MAX(0,($A69*G$65*Calculateur!$B$54-Calculateur!$B$58-IF(Hypotheses!$B$100="proportionnel",MAX(0,($A69*Calculateur!$B$56+$A69*G$65*Calculateur!$B$57)-Hypotheses!$B$97)/Hypotheses!$B$99,ROUNDUP(MAX(0,($A69*Calculateur!$B$56+$A69*G$65*Calculateur!$B$57)-Hypotheses!$B$97)/Hypotheses!$B$99,0))*Hypotheses!$B$101)*12),Hypotheses!$A$56)*Hypotheses!$B$56+MAX(0,MIN(MAX(0,($A69*G$65*Calculateur!$B$54-Calculateur!$B$58-IF(Hypotheses!$B$100="proportionnel",MAX(0,($A69*Calculateur!$B$56+$A69*G$65*Calculateur!$B$57)-Hypotheses!$B$97)/Hypotheses!$B$99,ROUNDUP(MAX(0,($A69*Calculateur!$B$56+$A69*G$65*Calculateur!$B$57)-Hypotheses!$B$97)/Hypotheses!$B$99,0))*Hypotheses!$B$101)*12),Hypotheses!$A$57)-Hypotheses!$A$56)*Hypotheses!$B$57+MAX(0,MIN(MAX(0,($A69*G$65*Calculateur!$B$54-Calculateur!$B$58-IF(Hypotheses!$B$100="proportionnel",MAX(0,($A69*Calculateur!$B$56+$A69*G$65*Calculateur!$B$57)-Hypotheses!$B$97)/Hypotheses!$B$99,ROUNDUP(MAX(0,($A69*Calculateur!$B$56+$A69*G$65*Calculateur!$B$57)-Hypotheses!$B$97)/Hypotheses!$B$99,0))*Hypotheses!$B$101)*12),Hypotheses!$A$58)-Hypotheses!$A$57)*Hypotheses!$B$58+MAX(0,MAX(0,($A69*G$65*Calculateur!$B$54-Calculateur!$B$58-IF(Hypotheses!$B$100="proportionnel",MAX(0,($A69*Calculateur!$B$56+$A69*G$65*Calculateur!$B$57)-Hypotheses!$B$97)/Hypotheses!$B$99,ROUNDUP(MAX(0,($A69*Calculateur!$B$56+$A69*G$65*Calculateur!$B$57)-Hypotheses!$B$97)/Hypotheses!$B$99,0))*Hypotheses!$B$101)*12)-Hypotheses!$A$58)*Hypotheses!$B$59)*(1+Hypotheses!$B$60)*(1-Hypotheses!$B$61)/12))*Hypotheses!$B$65</f>
        <v/>
      </c>
      <c r="H69" s="21">
        <f>(($A69*H$65*Calculateur!$B$54-Calculateur!$B$58-IF(Hypotheses!$B$100="proportionnel",MAX(0,($A69*Calculateur!$B$56+$A69*H$65*Calculateur!$B$57)-Hypotheses!$B$97)/Hypotheses!$B$99,ROUNDUP(MAX(0,($A69*Calculateur!$B$56+$A69*H$65*Calculateur!$B$57)-Hypotheses!$B$97)/Hypotheses!$B$99,0))*Hypotheses!$B$101)-(MIN(MAX(0,($A69*H$65*Calculateur!$B$54-Calculateur!$B$58-IF(Hypotheses!$B$100="proportionnel",MAX(0,($A69*Calculateur!$B$56+$A69*H$65*Calculateur!$B$57)-Hypotheses!$B$97)/Hypotheses!$B$99,ROUNDUP(MAX(0,($A69*Calculateur!$B$56+$A69*H$65*Calculateur!$B$57)-Hypotheses!$B$97)/Hypotheses!$B$99,0))*Hypotheses!$B$101)*12),Hypotheses!$A$56)*Hypotheses!$B$56+MAX(0,MIN(MAX(0,($A69*H$65*Calculateur!$B$54-Calculateur!$B$58-IF(Hypotheses!$B$100="proportionnel",MAX(0,($A69*Calculateur!$B$56+$A69*H$65*Calculateur!$B$57)-Hypotheses!$B$97)/Hypotheses!$B$99,ROUNDUP(MAX(0,($A69*Calculateur!$B$56+$A69*H$65*Calculateur!$B$57)-Hypotheses!$B$97)/Hypotheses!$B$99,0))*Hypotheses!$B$101)*12),Hypotheses!$A$57)-Hypotheses!$A$56)*Hypotheses!$B$57+MAX(0,MIN(MAX(0,($A69*H$65*Calculateur!$B$54-Calculateur!$B$58-IF(Hypotheses!$B$100="proportionnel",MAX(0,($A69*Calculateur!$B$56+$A69*H$65*Calculateur!$B$57)-Hypotheses!$B$97)/Hypotheses!$B$99,ROUNDUP(MAX(0,($A69*Calculateur!$B$56+$A69*H$65*Calculateur!$B$57)-Hypotheses!$B$97)/Hypotheses!$B$99,0))*Hypotheses!$B$101)*12),Hypotheses!$A$58)-Hypotheses!$A$57)*Hypotheses!$B$58+MAX(0,MAX(0,($A69*H$65*Calculateur!$B$54-Calculateur!$B$58-IF(Hypotheses!$B$100="proportionnel",MAX(0,($A69*Calculateur!$B$56+$A69*H$65*Calculateur!$B$57)-Hypotheses!$B$97)/Hypotheses!$B$99,ROUNDUP(MAX(0,($A69*Calculateur!$B$56+$A69*H$65*Calculateur!$B$57)-Hypotheses!$B$97)/Hypotheses!$B$99,0))*Hypotheses!$B$101)*12)-Hypotheses!$A$58)*Hypotheses!$B$59)*(1+Hypotheses!$B$60)*(1-Hypotheses!$B$61)/12)-MAX(0,(($A69*H$65*Calculateur!$B$54-Calculateur!$B$58-IF(Hypotheses!$B$100="proportionnel",MAX(0,($A69*Calculateur!$B$56+$A69*H$65*Calculateur!$B$57)-Hypotheses!$B$97)/Hypotheses!$B$99,ROUNDUP(MAX(0,($A69*Calculateur!$B$56+$A69*H$65*Calculateur!$B$57)-Hypotheses!$B$97)/Hypotheses!$B$99,0))*Hypotheses!$B$101)-(MIN(MAX(0,($A69*H$65*Calculateur!$B$54-Calculateur!$B$58-IF(Hypotheses!$B$100="proportionnel",MAX(0,($A69*Calculateur!$B$56+$A69*H$65*Calculateur!$B$57)-Hypotheses!$B$97)/Hypotheses!$B$99,ROUNDUP(MAX(0,($A69*Calculateur!$B$56+$A69*H$65*Calculateur!$B$57)-Hypotheses!$B$97)/Hypotheses!$B$99,0))*Hypotheses!$B$101)*12),Hypotheses!$A$56)*Hypotheses!$B$56+MAX(0,MIN(MAX(0,($A69*H$65*Calculateur!$B$54-Calculateur!$B$58-IF(Hypotheses!$B$100="proportionnel",MAX(0,($A69*Calculateur!$B$56+$A69*H$65*Calculateur!$B$57)-Hypotheses!$B$97)/Hypotheses!$B$99,ROUNDUP(MAX(0,($A69*Calculateur!$B$56+$A69*H$65*Calculateur!$B$57)-Hypotheses!$B$97)/Hypotheses!$B$99,0))*Hypotheses!$B$101)*12),Hypotheses!$A$57)-Hypotheses!$A$56)*Hypotheses!$B$57+MAX(0,MIN(MAX(0,($A69*H$65*Calculateur!$B$54-Calculateur!$B$58-IF(Hypotheses!$B$100="proportionnel",MAX(0,($A69*Calculateur!$B$56+$A69*H$65*Calculateur!$B$57)-Hypotheses!$B$97)/Hypotheses!$B$99,ROUNDUP(MAX(0,($A69*Calculateur!$B$56+$A69*H$65*Calculateur!$B$57)-Hypotheses!$B$97)/Hypotheses!$B$99,0))*Hypotheses!$B$101)*12),Hypotheses!$A$58)-Hypotheses!$A$57)*Hypotheses!$B$58+MAX(0,MAX(0,($A69*H$65*Calculateur!$B$54-Calculateur!$B$58-IF(Hypotheses!$B$100="proportionnel",MAX(0,($A69*Calculateur!$B$56+$A69*H$65*Calculateur!$B$57)-Hypotheses!$B$97)/Hypotheses!$B$99,ROUNDUP(MAX(0,($A69*Calculateur!$B$56+$A69*H$65*Calculateur!$B$57)-Hypotheses!$B$97)/Hypotheses!$B$99,0))*Hypotheses!$B$101)*12)-Hypotheses!$A$58)*Hypotheses!$B$59)*(1+Hypotheses!$B$60)*(1-Hypotheses!$B$61)/12))*Hypotheses!$B$65</f>
        <v/>
      </c>
      <c r="I69" s="21">
        <f>(($A69*I$65*Calculateur!$B$54-Calculateur!$B$58-IF(Hypotheses!$B$100="proportionnel",MAX(0,($A69*Calculateur!$B$56+$A69*I$65*Calculateur!$B$57)-Hypotheses!$B$97)/Hypotheses!$B$99,ROUNDUP(MAX(0,($A69*Calculateur!$B$56+$A69*I$65*Calculateur!$B$57)-Hypotheses!$B$97)/Hypotheses!$B$99,0))*Hypotheses!$B$101)-(MIN(MAX(0,($A69*I$65*Calculateur!$B$54-Calculateur!$B$58-IF(Hypotheses!$B$100="proportionnel",MAX(0,($A69*Calculateur!$B$56+$A69*I$65*Calculateur!$B$57)-Hypotheses!$B$97)/Hypotheses!$B$99,ROUNDUP(MAX(0,($A69*Calculateur!$B$56+$A69*I$65*Calculateur!$B$57)-Hypotheses!$B$97)/Hypotheses!$B$99,0))*Hypotheses!$B$101)*12),Hypotheses!$A$56)*Hypotheses!$B$56+MAX(0,MIN(MAX(0,($A69*I$65*Calculateur!$B$54-Calculateur!$B$58-IF(Hypotheses!$B$100="proportionnel",MAX(0,($A69*Calculateur!$B$56+$A69*I$65*Calculateur!$B$57)-Hypotheses!$B$97)/Hypotheses!$B$99,ROUNDUP(MAX(0,($A69*Calculateur!$B$56+$A69*I$65*Calculateur!$B$57)-Hypotheses!$B$97)/Hypotheses!$B$99,0))*Hypotheses!$B$101)*12),Hypotheses!$A$57)-Hypotheses!$A$56)*Hypotheses!$B$57+MAX(0,MIN(MAX(0,($A69*I$65*Calculateur!$B$54-Calculateur!$B$58-IF(Hypotheses!$B$100="proportionnel",MAX(0,($A69*Calculateur!$B$56+$A69*I$65*Calculateur!$B$57)-Hypotheses!$B$97)/Hypotheses!$B$99,ROUNDUP(MAX(0,($A69*Calculateur!$B$56+$A69*I$65*Calculateur!$B$57)-Hypotheses!$B$97)/Hypotheses!$B$99,0))*Hypotheses!$B$101)*12),Hypotheses!$A$58)-Hypotheses!$A$57)*Hypotheses!$B$58+MAX(0,MAX(0,($A69*I$65*Calculateur!$B$54-Calculateur!$B$58-IF(Hypotheses!$B$100="proportionnel",MAX(0,($A69*Calculateur!$B$56+$A69*I$65*Calculateur!$B$57)-Hypotheses!$B$97)/Hypotheses!$B$99,ROUNDUP(MAX(0,($A69*Calculateur!$B$56+$A69*I$65*Calculateur!$B$57)-Hypotheses!$B$97)/Hypotheses!$B$99,0))*Hypotheses!$B$101)*12)-Hypotheses!$A$58)*Hypotheses!$B$59)*(1+Hypotheses!$B$60)*(1-Hypotheses!$B$61)/12)-MAX(0,(($A69*I$65*Calculateur!$B$54-Calculateur!$B$58-IF(Hypotheses!$B$100="proportionnel",MAX(0,($A69*Calculateur!$B$56+$A69*I$65*Calculateur!$B$57)-Hypotheses!$B$97)/Hypotheses!$B$99,ROUNDUP(MAX(0,($A69*Calculateur!$B$56+$A69*I$65*Calculateur!$B$57)-Hypotheses!$B$97)/Hypotheses!$B$99,0))*Hypotheses!$B$101)-(MIN(MAX(0,($A69*I$65*Calculateur!$B$54-Calculateur!$B$58-IF(Hypotheses!$B$100="proportionnel",MAX(0,($A69*Calculateur!$B$56+$A69*I$65*Calculateur!$B$57)-Hypotheses!$B$97)/Hypotheses!$B$99,ROUNDUP(MAX(0,($A69*Calculateur!$B$56+$A69*I$65*Calculateur!$B$57)-Hypotheses!$B$97)/Hypotheses!$B$99,0))*Hypotheses!$B$101)*12),Hypotheses!$A$56)*Hypotheses!$B$56+MAX(0,MIN(MAX(0,($A69*I$65*Calculateur!$B$54-Calculateur!$B$58-IF(Hypotheses!$B$100="proportionnel",MAX(0,($A69*Calculateur!$B$56+$A69*I$65*Calculateur!$B$57)-Hypotheses!$B$97)/Hypotheses!$B$99,ROUNDUP(MAX(0,($A69*Calculateur!$B$56+$A69*I$65*Calculateur!$B$57)-Hypotheses!$B$97)/Hypotheses!$B$99,0))*Hypotheses!$B$101)*12),Hypotheses!$A$57)-Hypotheses!$A$56)*Hypotheses!$B$57+MAX(0,MIN(MAX(0,($A69*I$65*Calculateur!$B$54-Calculateur!$B$58-IF(Hypotheses!$B$100="proportionnel",MAX(0,($A69*Calculateur!$B$56+$A69*I$65*Calculateur!$B$57)-Hypotheses!$B$97)/Hypotheses!$B$99,ROUNDUP(MAX(0,($A69*Calculateur!$B$56+$A69*I$65*Calculateur!$B$57)-Hypotheses!$B$97)/Hypotheses!$B$99,0))*Hypotheses!$B$101)*12),Hypotheses!$A$58)-Hypotheses!$A$57)*Hypotheses!$B$58+MAX(0,MAX(0,($A69*I$65*Calculateur!$B$54-Calculateur!$B$58-IF(Hypotheses!$B$100="proportionnel",MAX(0,($A69*Calculateur!$B$56+$A69*I$65*Calculateur!$B$57)-Hypotheses!$B$97)/Hypotheses!$B$99,ROUNDUP(MAX(0,($A69*Calculateur!$B$56+$A69*I$65*Calculateur!$B$57)-Hypotheses!$B$97)/Hypotheses!$B$99,0))*Hypotheses!$B$101)*12)-Hypotheses!$A$58)*Hypotheses!$B$59)*(1+Hypotheses!$B$60)*(1-Hypotheses!$B$61)/12))*Hypotheses!$B$65</f>
        <v/>
      </c>
    </row>
    <row r="70">
      <c r="A70" s="36" t="n">
        <v>25</v>
      </c>
      <c r="B70" s="21">
        <f>(($A70*B$65*Calculateur!$B$54-Calculateur!$B$58-IF(Hypotheses!$B$100="proportionnel",MAX(0,($A70*Calculateur!$B$56+$A70*B$65*Calculateur!$B$57)-Hypotheses!$B$97)/Hypotheses!$B$99,ROUNDUP(MAX(0,($A70*Calculateur!$B$56+$A70*B$65*Calculateur!$B$57)-Hypotheses!$B$97)/Hypotheses!$B$99,0))*Hypotheses!$B$101)-(MIN(MAX(0,($A70*B$65*Calculateur!$B$54-Calculateur!$B$58-IF(Hypotheses!$B$100="proportionnel",MAX(0,($A70*Calculateur!$B$56+$A70*B$65*Calculateur!$B$57)-Hypotheses!$B$97)/Hypotheses!$B$99,ROUNDUP(MAX(0,($A70*Calculateur!$B$56+$A70*B$65*Calculateur!$B$57)-Hypotheses!$B$97)/Hypotheses!$B$99,0))*Hypotheses!$B$101)*12),Hypotheses!$A$56)*Hypotheses!$B$56+MAX(0,MIN(MAX(0,($A70*B$65*Calculateur!$B$54-Calculateur!$B$58-IF(Hypotheses!$B$100="proportionnel",MAX(0,($A70*Calculateur!$B$56+$A70*B$65*Calculateur!$B$57)-Hypotheses!$B$97)/Hypotheses!$B$99,ROUNDUP(MAX(0,($A70*Calculateur!$B$56+$A70*B$65*Calculateur!$B$57)-Hypotheses!$B$97)/Hypotheses!$B$99,0))*Hypotheses!$B$101)*12),Hypotheses!$A$57)-Hypotheses!$A$56)*Hypotheses!$B$57+MAX(0,MIN(MAX(0,($A70*B$65*Calculateur!$B$54-Calculateur!$B$58-IF(Hypotheses!$B$100="proportionnel",MAX(0,($A70*Calculateur!$B$56+$A70*B$65*Calculateur!$B$57)-Hypotheses!$B$97)/Hypotheses!$B$99,ROUNDUP(MAX(0,($A70*Calculateur!$B$56+$A70*B$65*Calculateur!$B$57)-Hypotheses!$B$97)/Hypotheses!$B$99,0))*Hypotheses!$B$101)*12),Hypotheses!$A$58)-Hypotheses!$A$57)*Hypotheses!$B$58+MAX(0,MAX(0,($A70*B$65*Calculateur!$B$54-Calculateur!$B$58-IF(Hypotheses!$B$100="proportionnel",MAX(0,($A70*Calculateur!$B$56+$A70*B$65*Calculateur!$B$57)-Hypotheses!$B$97)/Hypotheses!$B$99,ROUNDUP(MAX(0,($A70*Calculateur!$B$56+$A70*B$65*Calculateur!$B$57)-Hypotheses!$B$97)/Hypotheses!$B$99,0))*Hypotheses!$B$101)*12)-Hypotheses!$A$58)*Hypotheses!$B$59)*(1+Hypotheses!$B$60)*(1-Hypotheses!$B$61)/12)-MAX(0,(($A70*B$65*Calculateur!$B$54-Calculateur!$B$58-IF(Hypotheses!$B$100="proportionnel",MAX(0,($A70*Calculateur!$B$56+$A70*B$65*Calculateur!$B$57)-Hypotheses!$B$97)/Hypotheses!$B$99,ROUNDUP(MAX(0,($A70*Calculateur!$B$56+$A70*B$65*Calculateur!$B$57)-Hypotheses!$B$97)/Hypotheses!$B$99,0))*Hypotheses!$B$101)-(MIN(MAX(0,($A70*B$65*Calculateur!$B$54-Calculateur!$B$58-IF(Hypotheses!$B$100="proportionnel",MAX(0,($A70*Calculateur!$B$56+$A70*B$65*Calculateur!$B$57)-Hypotheses!$B$97)/Hypotheses!$B$99,ROUNDUP(MAX(0,($A70*Calculateur!$B$56+$A70*B$65*Calculateur!$B$57)-Hypotheses!$B$97)/Hypotheses!$B$99,0))*Hypotheses!$B$101)*12),Hypotheses!$A$56)*Hypotheses!$B$56+MAX(0,MIN(MAX(0,($A70*B$65*Calculateur!$B$54-Calculateur!$B$58-IF(Hypotheses!$B$100="proportionnel",MAX(0,($A70*Calculateur!$B$56+$A70*B$65*Calculateur!$B$57)-Hypotheses!$B$97)/Hypotheses!$B$99,ROUNDUP(MAX(0,($A70*Calculateur!$B$56+$A70*B$65*Calculateur!$B$57)-Hypotheses!$B$97)/Hypotheses!$B$99,0))*Hypotheses!$B$101)*12),Hypotheses!$A$57)-Hypotheses!$A$56)*Hypotheses!$B$57+MAX(0,MIN(MAX(0,($A70*B$65*Calculateur!$B$54-Calculateur!$B$58-IF(Hypotheses!$B$100="proportionnel",MAX(0,($A70*Calculateur!$B$56+$A70*B$65*Calculateur!$B$57)-Hypotheses!$B$97)/Hypotheses!$B$99,ROUNDUP(MAX(0,($A70*Calculateur!$B$56+$A70*B$65*Calculateur!$B$57)-Hypotheses!$B$97)/Hypotheses!$B$99,0))*Hypotheses!$B$101)*12),Hypotheses!$A$58)-Hypotheses!$A$57)*Hypotheses!$B$58+MAX(0,MAX(0,($A70*B$65*Calculateur!$B$54-Calculateur!$B$58-IF(Hypotheses!$B$100="proportionnel",MAX(0,($A70*Calculateur!$B$56+$A70*B$65*Calculateur!$B$57)-Hypotheses!$B$97)/Hypotheses!$B$99,ROUNDUP(MAX(0,($A70*Calculateur!$B$56+$A70*B$65*Calculateur!$B$57)-Hypotheses!$B$97)/Hypotheses!$B$99,0))*Hypotheses!$B$101)*12)-Hypotheses!$A$58)*Hypotheses!$B$59)*(1+Hypotheses!$B$60)*(1-Hypotheses!$B$61)/12))*Hypotheses!$B$65</f>
        <v/>
      </c>
      <c r="C70" s="21">
        <f>(($A70*C$65*Calculateur!$B$54-Calculateur!$B$58-IF(Hypotheses!$B$100="proportionnel",MAX(0,($A70*Calculateur!$B$56+$A70*C$65*Calculateur!$B$57)-Hypotheses!$B$97)/Hypotheses!$B$99,ROUNDUP(MAX(0,($A70*Calculateur!$B$56+$A70*C$65*Calculateur!$B$57)-Hypotheses!$B$97)/Hypotheses!$B$99,0))*Hypotheses!$B$101)-(MIN(MAX(0,($A70*C$65*Calculateur!$B$54-Calculateur!$B$58-IF(Hypotheses!$B$100="proportionnel",MAX(0,($A70*Calculateur!$B$56+$A70*C$65*Calculateur!$B$57)-Hypotheses!$B$97)/Hypotheses!$B$99,ROUNDUP(MAX(0,($A70*Calculateur!$B$56+$A70*C$65*Calculateur!$B$57)-Hypotheses!$B$97)/Hypotheses!$B$99,0))*Hypotheses!$B$101)*12),Hypotheses!$A$56)*Hypotheses!$B$56+MAX(0,MIN(MAX(0,($A70*C$65*Calculateur!$B$54-Calculateur!$B$58-IF(Hypotheses!$B$100="proportionnel",MAX(0,($A70*Calculateur!$B$56+$A70*C$65*Calculateur!$B$57)-Hypotheses!$B$97)/Hypotheses!$B$99,ROUNDUP(MAX(0,($A70*Calculateur!$B$56+$A70*C$65*Calculateur!$B$57)-Hypotheses!$B$97)/Hypotheses!$B$99,0))*Hypotheses!$B$101)*12),Hypotheses!$A$57)-Hypotheses!$A$56)*Hypotheses!$B$57+MAX(0,MIN(MAX(0,($A70*C$65*Calculateur!$B$54-Calculateur!$B$58-IF(Hypotheses!$B$100="proportionnel",MAX(0,($A70*Calculateur!$B$56+$A70*C$65*Calculateur!$B$57)-Hypotheses!$B$97)/Hypotheses!$B$99,ROUNDUP(MAX(0,($A70*Calculateur!$B$56+$A70*C$65*Calculateur!$B$57)-Hypotheses!$B$97)/Hypotheses!$B$99,0))*Hypotheses!$B$101)*12),Hypotheses!$A$58)-Hypotheses!$A$57)*Hypotheses!$B$58+MAX(0,MAX(0,($A70*C$65*Calculateur!$B$54-Calculateur!$B$58-IF(Hypotheses!$B$100="proportionnel",MAX(0,($A70*Calculateur!$B$56+$A70*C$65*Calculateur!$B$57)-Hypotheses!$B$97)/Hypotheses!$B$99,ROUNDUP(MAX(0,($A70*Calculateur!$B$56+$A70*C$65*Calculateur!$B$57)-Hypotheses!$B$97)/Hypotheses!$B$99,0))*Hypotheses!$B$101)*12)-Hypotheses!$A$58)*Hypotheses!$B$59)*(1+Hypotheses!$B$60)*(1-Hypotheses!$B$61)/12)-MAX(0,(($A70*C$65*Calculateur!$B$54-Calculateur!$B$58-IF(Hypotheses!$B$100="proportionnel",MAX(0,($A70*Calculateur!$B$56+$A70*C$65*Calculateur!$B$57)-Hypotheses!$B$97)/Hypotheses!$B$99,ROUNDUP(MAX(0,($A70*Calculateur!$B$56+$A70*C$65*Calculateur!$B$57)-Hypotheses!$B$97)/Hypotheses!$B$99,0))*Hypotheses!$B$101)-(MIN(MAX(0,($A70*C$65*Calculateur!$B$54-Calculateur!$B$58-IF(Hypotheses!$B$100="proportionnel",MAX(0,($A70*Calculateur!$B$56+$A70*C$65*Calculateur!$B$57)-Hypotheses!$B$97)/Hypotheses!$B$99,ROUNDUP(MAX(0,($A70*Calculateur!$B$56+$A70*C$65*Calculateur!$B$57)-Hypotheses!$B$97)/Hypotheses!$B$99,0))*Hypotheses!$B$101)*12),Hypotheses!$A$56)*Hypotheses!$B$56+MAX(0,MIN(MAX(0,($A70*C$65*Calculateur!$B$54-Calculateur!$B$58-IF(Hypotheses!$B$100="proportionnel",MAX(0,($A70*Calculateur!$B$56+$A70*C$65*Calculateur!$B$57)-Hypotheses!$B$97)/Hypotheses!$B$99,ROUNDUP(MAX(0,($A70*Calculateur!$B$56+$A70*C$65*Calculateur!$B$57)-Hypotheses!$B$97)/Hypotheses!$B$99,0))*Hypotheses!$B$101)*12),Hypotheses!$A$57)-Hypotheses!$A$56)*Hypotheses!$B$57+MAX(0,MIN(MAX(0,($A70*C$65*Calculateur!$B$54-Calculateur!$B$58-IF(Hypotheses!$B$100="proportionnel",MAX(0,($A70*Calculateur!$B$56+$A70*C$65*Calculateur!$B$57)-Hypotheses!$B$97)/Hypotheses!$B$99,ROUNDUP(MAX(0,($A70*Calculateur!$B$56+$A70*C$65*Calculateur!$B$57)-Hypotheses!$B$97)/Hypotheses!$B$99,0))*Hypotheses!$B$101)*12),Hypotheses!$A$58)-Hypotheses!$A$57)*Hypotheses!$B$58+MAX(0,MAX(0,($A70*C$65*Calculateur!$B$54-Calculateur!$B$58-IF(Hypotheses!$B$100="proportionnel",MAX(0,($A70*Calculateur!$B$56+$A70*C$65*Calculateur!$B$57)-Hypotheses!$B$97)/Hypotheses!$B$99,ROUNDUP(MAX(0,($A70*Calculateur!$B$56+$A70*C$65*Calculateur!$B$57)-Hypotheses!$B$97)/Hypotheses!$B$99,0))*Hypotheses!$B$101)*12)-Hypotheses!$A$58)*Hypotheses!$B$59)*(1+Hypotheses!$B$60)*(1-Hypotheses!$B$61)/12))*Hypotheses!$B$65</f>
        <v/>
      </c>
      <c r="D70" s="21">
        <f>(($A70*D$65*Calculateur!$B$54-Calculateur!$B$58-IF(Hypotheses!$B$100="proportionnel",MAX(0,($A70*Calculateur!$B$56+$A70*D$65*Calculateur!$B$57)-Hypotheses!$B$97)/Hypotheses!$B$99,ROUNDUP(MAX(0,($A70*Calculateur!$B$56+$A70*D$65*Calculateur!$B$57)-Hypotheses!$B$97)/Hypotheses!$B$99,0))*Hypotheses!$B$101)-(MIN(MAX(0,($A70*D$65*Calculateur!$B$54-Calculateur!$B$58-IF(Hypotheses!$B$100="proportionnel",MAX(0,($A70*Calculateur!$B$56+$A70*D$65*Calculateur!$B$57)-Hypotheses!$B$97)/Hypotheses!$B$99,ROUNDUP(MAX(0,($A70*Calculateur!$B$56+$A70*D$65*Calculateur!$B$57)-Hypotheses!$B$97)/Hypotheses!$B$99,0))*Hypotheses!$B$101)*12),Hypotheses!$A$56)*Hypotheses!$B$56+MAX(0,MIN(MAX(0,($A70*D$65*Calculateur!$B$54-Calculateur!$B$58-IF(Hypotheses!$B$100="proportionnel",MAX(0,($A70*Calculateur!$B$56+$A70*D$65*Calculateur!$B$57)-Hypotheses!$B$97)/Hypotheses!$B$99,ROUNDUP(MAX(0,($A70*Calculateur!$B$56+$A70*D$65*Calculateur!$B$57)-Hypotheses!$B$97)/Hypotheses!$B$99,0))*Hypotheses!$B$101)*12),Hypotheses!$A$57)-Hypotheses!$A$56)*Hypotheses!$B$57+MAX(0,MIN(MAX(0,($A70*D$65*Calculateur!$B$54-Calculateur!$B$58-IF(Hypotheses!$B$100="proportionnel",MAX(0,($A70*Calculateur!$B$56+$A70*D$65*Calculateur!$B$57)-Hypotheses!$B$97)/Hypotheses!$B$99,ROUNDUP(MAX(0,($A70*Calculateur!$B$56+$A70*D$65*Calculateur!$B$57)-Hypotheses!$B$97)/Hypotheses!$B$99,0))*Hypotheses!$B$101)*12),Hypotheses!$A$58)-Hypotheses!$A$57)*Hypotheses!$B$58+MAX(0,MAX(0,($A70*D$65*Calculateur!$B$54-Calculateur!$B$58-IF(Hypotheses!$B$100="proportionnel",MAX(0,($A70*Calculateur!$B$56+$A70*D$65*Calculateur!$B$57)-Hypotheses!$B$97)/Hypotheses!$B$99,ROUNDUP(MAX(0,($A70*Calculateur!$B$56+$A70*D$65*Calculateur!$B$57)-Hypotheses!$B$97)/Hypotheses!$B$99,0))*Hypotheses!$B$101)*12)-Hypotheses!$A$58)*Hypotheses!$B$59)*(1+Hypotheses!$B$60)*(1-Hypotheses!$B$61)/12)-MAX(0,(($A70*D$65*Calculateur!$B$54-Calculateur!$B$58-IF(Hypotheses!$B$100="proportionnel",MAX(0,($A70*Calculateur!$B$56+$A70*D$65*Calculateur!$B$57)-Hypotheses!$B$97)/Hypotheses!$B$99,ROUNDUP(MAX(0,($A70*Calculateur!$B$56+$A70*D$65*Calculateur!$B$57)-Hypotheses!$B$97)/Hypotheses!$B$99,0))*Hypotheses!$B$101)-(MIN(MAX(0,($A70*D$65*Calculateur!$B$54-Calculateur!$B$58-IF(Hypotheses!$B$100="proportionnel",MAX(0,($A70*Calculateur!$B$56+$A70*D$65*Calculateur!$B$57)-Hypotheses!$B$97)/Hypotheses!$B$99,ROUNDUP(MAX(0,($A70*Calculateur!$B$56+$A70*D$65*Calculateur!$B$57)-Hypotheses!$B$97)/Hypotheses!$B$99,0))*Hypotheses!$B$101)*12),Hypotheses!$A$56)*Hypotheses!$B$56+MAX(0,MIN(MAX(0,($A70*D$65*Calculateur!$B$54-Calculateur!$B$58-IF(Hypotheses!$B$100="proportionnel",MAX(0,($A70*Calculateur!$B$56+$A70*D$65*Calculateur!$B$57)-Hypotheses!$B$97)/Hypotheses!$B$99,ROUNDUP(MAX(0,($A70*Calculateur!$B$56+$A70*D$65*Calculateur!$B$57)-Hypotheses!$B$97)/Hypotheses!$B$99,0))*Hypotheses!$B$101)*12),Hypotheses!$A$57)-Hypotheses!$A$56)*Hypotheses!$B$57+MAX(0,MIN(MAX(0,($A70*D$65*Calculateur!$B$54-Calculateur!$B$58-IF(Hypotheses!$B$100="proportionnel",MAX(0,($A70*Calculateur!$B$56+$A70*D$65*Calculateur!$B$57)-Hypotheses!$B$97)/Hypotheses!$B$99,ROUNDUP(MAX(0,($A70*Calculateur!$B$56+$A70*D$65*Calculateur!$B$57)-Hypotheses!$B$97)/Hypotheses!$B$99,0))*Hypotheses!$B$101)*12),Hypotheses!$A$58)-Hypotheses!$A$57)*Hypotheses!$B$58+MAX(0,MAX(0,($A70*D$65*Calculateur!$B$54-Calculateur!$B$58-IF(Hypotheses!$B$100="proportionnel",MAX(0,($A70*Calculateur!$B$56+$A70*D$65*Calculateur!$B$57)-Hypotheses!$B$97)/Hypotheses!$B$99,ROUNDUP(MAX(0,($A70*Calculateur!$B$56+$A70*D$65*Calculateur!$B$57)-Hypotheses!$B$97)/Hypotheses!$B$99,0))*Hypotheses!$B$101)*12)-Hypotheses!$A$58)*Hypotheses!$B$59)*(1+Hypotheses!$B$60)*(1-Hypotheses!$B$61)/12))*Hypotheses!$B$65</f>
        <v/>
      </c>
      <c r="E70" s="21">
        <f>(($A70*E$65*Calculateur!$B$54-Calculateur!$B$58-IF(Hypotheses!$B$100="proportionnel",MAX(0,($A70*Calculateur!$B$56+$A70*E$65*Calculateur!$B$57)-Hypotheses!$B$97)/Hypotheses!$B$99,ROUNDUP(MAX(0,($A70*Calculateur!$B$56+$A70*E$65*Calculateur!$B$57)-Hypotheses!$B$97)/Hypotheses!$B$99,0))*Hypotheses!$B$101)-(MIN(MAX(0,($A70*E$65*Calculateur!$B$54-Calculateur!$B$58-IF(Hypotheses!$B$100="proportionnel",MAX(0,($A70*Calculateur!$B$56+$A70*E$65*Calculateur!$B$57)-Hypotheses!$B$97)/Hypotheses!$B$99,ROUNDUP(MAX(0,($A70*Calculateur!$B$56+$A70*E$65*Calculateur!$B$57)-Hypotheses!$B$97)/Hypotheses!$B$99,0))*Hypotheses!$B$101)*12),Hypotheses!$A$56)*Hypotheses!$B$56+MAX(0,MIN(MAX(0,($A70*E$65*Calculateur!$B$54-Calculateur!$B$58-IF(Hypotheses!$B$100="proportionnel",MAX(0,($A70*Calculateur!$B$56+$A70*E$65*Calculateur!$B$57)-Hypotheses!$B$97)/Hypotheses!$B$99,ROUNDUP(MAX(0,($A70*Calculateur!$B$56+$A70*E$65*Calculateur!$B$57)-Hypotheses!$B$97)/Hypotheses!$B$99,0))*Hypotheses!$B$101)*12),Hypotheses!$A$57)-Hypotheses!$A$56)*Hypotheses!$B$57+MAX(0,MIN(MAX(0,($A70*E$65*Calculateur!$B$54-Calculateur!$B$58-IF(Hypotheses!$B$100="proportionnel",MAX(0,($A70*Calculateur!$B$56+$A70*E$65*Calculateur!$B$57)-Hypotheses!$B$97)/Hypotheses!$B$99,ROUNDUP(MAX(0,($A70*Calculateur!$B$56+$A70*E$65*Calculateur!$B$57)-Hypotheses!$B$97)/Hypotheses!$B$99,0))*Hypotheses!$B$101)*12),Hypotheses!$A$58)-Hypotheses!$A$57)*Hypotheses!$B$58+MAX(0,MAX(0,($A70*E$65*Calculateur!$B$54-Calculateur!$B$58-IF(Hypotheses!$B$100="proportionnel",MAX(0,($A70*Calculateur!$B$56+$A70*E$65*Calculateur!$B$57)-Hypotheses!$B$97)/Hypotheses!$B$99,ROUNDUP(MAX(0,($A70*Calculateur!$B$56+$A70*E$65*Calculateur!$B$57)-Hypotheses!$B$97)/Hypotheses!$B$99,0))*Hypotheses!$B$101)*12)-Hypotheses!$A$58)*Hypotheses!$B$59)*(1+Hypotheses!$B$60)*(1-Hypotheses!$B$61)/12)-MAX(0,(($A70*E$65*Calculateur!$B$54-Calculateur!$B$58-IF(Hypotheses!$B$100="proportionnel",MAX(0,($A70*Calculateur!$B$56+$A70*E$65*Calculateur!$B$57)-Hypotheses!$B$97)/Hypotheses!$B$99,ROUNDUP(MAX(0,($A70*Calculateur!$B$56+$A70*E$65*Calculateur!$B$57)-Hypotheses!$B$97)/Hypotheses!$B$99,0))*Hypotheses!$B$101)-(MIN(MAX(0,($A70*E$65*Calculateur!$B$54-Calculateur!$B$58-IF(Hypotheses!$B$100="proportionnel",MAX(0,($A70*Calculateur!$B$56+$A70*E$65*Calculateur!$B$57)-Hypotheses!$B$97)/Hypotheses!$B$99,ROUNDUP(MAX(0,($A70*Calculateur!$B$56+$A70*E$65*Calculateur!$B$57)-Hypotheses!$B$97)/Hypotheses!$B$99,0))*Hypotheses!$B$101)*12),Hypotheses!$A$56)*Hypotheses!$B$56+MAX(0,MIN(MAX(0,($A70*E$65*Calculateur!$B$54-Calculateur!$B$58-IF(Hypotheses!$B$100="proportionnel",MAX(0,($A70*Calculateur!$B$56+$A70*E$65*Calculateur!$B$57)-Hypotheses!$B$97)/Hypotheses!$B$99,ROUNDUP(MAX(0,($A70*Calculateur!$B$56+$A70*E$65*Calculateur!$B$57)-Hypotheses!$B$97)/Hypotheses!$B$99,0))*Hypotheses!$B$101)*12),Hypotheses!$A$57)-Hypotheses!$A$56)*Hypotheses!$B$57+MAX(0,MIN(MAX(0,($A70*E$65*Calculateur!$B$54-Calculateur!$B$58-IF(Hypotheses!$B$100="proportionnel",MAX(0,($A70*Calculateur!$B$56+$A70*E$65*Calculateur!$B$57)-Hypotheses!$B$97)/Hypotheses!$B$99,ROUNDUP(MAX(0,($A70*Calculateur!$B$56+$A70*E$65*Calculateur!$B$57)-Hypotheses!$B$97)/Hypotheses!$B$99,0))*Hypotheses!$B$101)*12),Hypotheses!$A$58)-Hypotheses!$A$57)*Hypotheses!$B$58+MAX(0,MAX(0,($A70*E$65*Calculateur!$B$54-Calculateur!$B$58-IF(Hypotheses!$B$100="proportionnel",MAX(0,($A70*Calculateur!$B$56+$A70*E$65*Calculateur!$B$57)-Hypotheses!$B$97)/Hypotheses!$B$99,ROUNDUP(MAX(0,($A70*Calculateur!$B$56+$A70*E$65*Calculateur!$B$57)-Hypotheses!$B$97)/Hypotheses!$B$99,0))*Hypotheses!$B$101)*12)-Hypotheses!$A$58)*Hypotheses!$B$59)*(1+Hypotheses!$B$60)*(1-Hypotheses!$B$61)/12))*Hypotheses!$B$65</f>
        <v/>
      </c>
      <c r="F70" s="21">
        <f>(($A70*F$65*Calculateur!$B$54-Calculateur!$B$58-IF(Hypotheses!$B$100="proportionnel",MAX(0,($A70*Calculateur!$B$56+$A70*F$65*Calculateur!$B$57)-Hypotheses!$B$97)/Hypotheses!$B$99,ROUNDUP(MAX(0,($A70*Calculateur!$B$56+$A70*F$65*Calculateur!$B$57)-Hypotheses!$B$97)/Hypotheses!$B$99,0))*Hypotheses!$B$101)-(MIN(MAX(0,($A70*F$65*Calculateur!$B$54-Calculateur!$B$58-IF(Hypotheses!$B$100="proportionnel",MAX(0,($A70*Calculateur!$B$56+$A70*F$65*Calculateur!$B$57)-Hypotheses!$B$97)/Hypotheses!$B$99,ROUNDUP(MAX(0,($A70*Calculateur!$B$56+$A70*F$65*Calculateur!$B$57)-Hypotheses!$B$97)/Hypotheses!$B$99,0))*Hypotheses!$B$101)*12),Hypotheses!$A$56)*Hypotheses!$B$56+MAX(0,MIN(MAX(0,($A70*F$65*Calculateur!$B$54-Calculateur!$B$58-IF(Hypotheses!$B$100="proportionnel",MAX(0,($A70*Calculateur!$B$56+$A70*F$65*Calculateur!$B$57)-Hypotheses!$B$97)/Hypotheses!$B$99,ROUNDUP(MAX(0,($A70*Calculateur!$B$56+$A70*F$65*Calculateur!$B$57)-Hypotheses!$B$97)/Hypotheses!$B$99,0))*Hypotheses!$B$101)*12),Hypotheses!$A$57)-Hypotheses!$A$56)*Hypotheses!$B$57+MAX(0,MIN(MAX(0,($A70*F$65*Calculateur!$B$54-Calculateur!$B$58-IF(Hypotheses!$B$100="proportionnel",MAX(0,($A70*Calculateur!$B$56+$A70*F$65*Calculateur!$B$57)-Hypotheses!$B$97)/Hypotheses!$B$99,ROUNDUP(MAX(0,($A70*Calculateur!$B$56+$A70*F$65*Calculateur!$B$57)-Hypotheses!$B$97)/Hypotheses!$B$99,0))*Hypotheses!$B$101)*12),Hypotheses!$A$58)-Hypotheses!$A$57)*Hypotheses!$B$58+MAX(0,MAX(0,($A70*F$65*Calculateur!$B$54-Calculateur!$B$58-IF(Hypotheses!$B$100="proportionnel",MAX(0,($A70*Calculateur!$B$56+$A70*F$65*Calculateur!$B$57)-Hypotheses!$B$97)/Hypotheses!$B$99,ROUNDUP(MAX(0,($A70*Calculateur!$B$56+$A70*F$65*Calculateur!$B$57)-Hypotheses!$B$97)/Hypotheses!$B$99,0))*Hypotheses!$B$101)*12)-Hypotheses!$A$58)*Hypotheses!$B$59)*(1+Hypotheses!$B$60)*(1-Hypotheses!$B$61)/12)-MAX(0,(($A70*F$65*Calculateur!$B$54-Calculateur!$B$58-IF(Hypotheses!$B$100="proportionnel",MAX(0,($A70*Calculateur!$B$56+$A70*F$65*Calculateur!$B$57)-Hypotheses!$B$97)/Hypotheses!$B$99,ROUNDUP(MAX(0,($A70*Calculateur!$B$56+$A70*F$65*Calculateur!$B$57)-Hypotheses!$B$97)/Hypotheses!$B$99,0))*Hypotheses!$B$101)-(MIN(MAX(0,($A70*F$65*Calculateur!$B$54-Calculateur!$B$58-IF(Hypotheses!$B$100="proportionnel",MAX(0,($A70*Calculateur!$B$56+$A70*F$65*Calculateur!$B$57)-Hypotheses!$B$97)/Hypotheses!$B$99,ROUNDUP(MAX(0,($A70*Calculateur!$B$56+$A70*F$65*Calculateur!$B$57)-Hypotheses!$B$97)/Hypotheses!$B$99,0))*Hypotheses!$B$101)*12),Hypotheses!$A$56)*Hypotheses!$B$56+MAX(0,MIN(MAX(0,($A70*F$65*Calculateur!$B$54-Calculateur!$B$58-IF(Hypotheses!$B$100="proportionnel",MAX(0,($A70*Calculateur!$B$56+$A70*F$65*Calculateur!$B$57)-Hypotheses!$B$97)/Hypotheses!$B$99,ROUNDUP(MAX(0,($A70*Calculateur!$B$56+$A70*F$65*Calculateur!$B$57)-Hypotheses!$B$97)/Hypotheses!$B$99,0))*Hypotheses!$B$101)*12),Hypotheses!$A$57)-Hypotheses!$A$56)*Hypotheses!$B$57+MAX(0,MIN(MAX(0,($A70*F$65*Calculateur!$B$54-Calculateur!$B$58-IF(Hypotheses!$B$100="proportionnel",MAX(0,($A70*Calculateur!$B$56+$A70*F$65*Calculateur!$B$57)-Hypotheses!$B$97)/Hypotheses!$B$99,ROUNDUP(MAX(0,($A70*Calculateur!$B$56+$A70*F$65*Calculateur!$B$57)-Hypotheses!$B$97)/Hypotheses!$B$99,0))*Hypotheses!$B$101)*12),Hypotheses!$A$58)-Hypotheses!$A$57)*Hypotheses!$B$58+MAX(0,MAX(0,($A70*F$65*Calculateur!$B$54-Calculateur!$B$58-IF(Hypotheses!$B$100="proportionnel",MAX(0,($A70*Calculateur!$B$56+$A70*F$65*Calculateur!$B$57)-Hypotheses!$B$97)/Hypotheses!$B$99,ROUNDUP(MAX(0,($A70*Calculateur!$B$56+$A70*F$65*Calculateur!$B$57)-Hypotheses!$B$97)/Hypotheses!$B$99,0))*Hypotheses!$B$101)*12)-Hypotheses!$A$58)*Hypotheses!$B$59)*(1+Hypotheses!$B$60)*(1-Hypotheses!$B$61)/12))*Hypotheses!$B$65</f>
        <v/>
      </c>
      <c r="G70" s="21">
        <f>(($A70*G$65*Calculateur!$B$54-Calculateur!$B$58-IF(Hypotheses!$B$100="proportionnel",MAX(0,($A70*Calculateur!$B$56+$A70*G$65*Calculateur!$B$57)-Hypotheses!$B$97)/Hypotheses!$B$99,ROUNDUP(MAX(0,($A70*Calculateur!$B$56+$A70*G$65*Calculateur!$B$57)-Hypotheses!$B$97)/Hypotheses!$B$99,0))*Hypotheses!$B$101)-(MIN(MAX(0,($A70*G$65*Calculateur!$B$54-Calculateur!$B$58-IF(Hypotheses!$B$100="proportionnel",MAX(0,($A70*Calculateur!$B$56+$A70*G$65*Calculateur!$B$57)-Hypotheses!$B$97)/Hypotheses!$B$99,ROUNDUP(MAX(0,($A70*Calculateur!$B$56+$A70*G$65*Calculateur!$B$57)-Hypotheses!$B$97)/Hypotheses!$B$99,0))*Hypotheses!$B$101)*12),Hypotheses!$A$56)*Hypotheses!$B$56+MAX(0,MIN(MAX(0,($A70*G$65*Calculateur!$B$54-Calculateur!$B$58-IF(Hypotheses!$B$100="proportionnel",MAX(0,($A70*Calculateur!$B$56+$A70*G$65*Calculateur!$B$57)-Hypotheses!$B$97)/Hypotheses!$B$99,ROUNDUP(MAX(0,($A70*Calculateur!$B$56+$A70*G$65*Calculateur!$B$57)-Hypotheses!$B$97)/Hypotheses!$B$99,0))*Hypotheses!$B$101)*12),Hypotheses!$A$57)-Hypotheses!$A$56)*Hypotheses!$B$57+MAX(0,MIN(MAX(0,($A70*G$65*Calculateur!$B$54-Calculateur!$B$58-IF(Hypotheses!$B$100="proportionnel",MAX(0,($A70*Calculateur!$B$56+$A70*G$65*Calculateur!$B$57)-Hypotheses!$B$97)/Hypotheses!$B$99,ROUNDUP(MAX(0,($A70*Calculateur!$B$56+$A70*G$65*Calculateur!$B$57)-Hypotheses!$B$97)/Hypotheses!$B$99,0))*Hypotheses!$B$101)*12),Hypotheses!$A$58)-Hypotheses!$A$57)*Hypotheses!$B$58+MAX(0,MAX(0,($A70*G$65*Calculateur!$B$54-Calculateur!$B$58-IF(Hypotheses!$B$100="proportionnel",MAX(0,($A70*Calculateur!$B$56+$A70*G$65*Calculateur!$B$57)-Hypotheses!$B$97)/Hypotheses!$B$99,ROUNDUP(MAX(0,($A70*Calculateur!$B$56+$A70*G$65*Calculateur!$B$57)-Hypotheses!$B$97)/Hypotheses!$B$99,0))*Hypotheses!$B$101)*12)-Hypotheses!$A$58)*Hypotheses!$B$59)*(1+Hypotheses!$B$60)*(1-Hypotheses!$B$61)/12)-MAX(0,(($A70*G$65*Calculateur!$B$54-Calculateur!$B$58-IF(Hypotheses!$B$100="proportionnel",MAX(0,($A70*Calculateur!$B$56+$A70*G$65*Calculateur!$B$57)-Hypotheses!$B$97)/Hypotheses!$B$99,ROUNDUP(MAX(0,($A70*Calculateur!$B$56+$A70*G$65*Calculateur!$B$57)-Hypotheses!$B$97)/Hypotheses!$B$99,0))*Hypotheses!$B$101)-(MIN(MAX(0,($A70*G$65*Calculateur!$B$54-Calculateur!$B$58-IF(Hypotheses!$B$100="proportionnel",MAX(0,($A70*Calculateur!$B$56+$A70*G$65*Calculateur!$B$57)-Hypotheses!$B$97)/Hypotheses!$B$99,ROUNDUP(MAX(0,($A70*Calculateur!$B$56+$A70*G$65*Calculateur!$B$57)-Hypotheses!$B$97)/Hypotheses!$B$99,0))*Hypotheses!$B$101)*12),Hypotheses!$A$56)*Hypotheses!$B$56+MAX(0,MIN(MAX(0,($A70*G$65*Calculateur!$B$54-Calculateur!$B$58-IF(Hypotheses!$B$100="proportionnel",MAX(0,($A70*Calculateur!$B$56+$A70*G$65*Calculateur!$B$57)-Hypotheses!$B$97)/Hypotheses!$B$99,ROUNDUP(MAX(0,($A70*Calculateur!$B$56+$A70*G$65*Calculateur!$B$57)-Hypotheses!$B$97)/Hypotheses!$B$99,0))*Hypotheses!$B$101)*12),Hypotheses!$A$57)-Hypotheses!$A$56)*Hypotheses!$B$57+MAX(0,MIN(MAX(0,($A70*G$65*Calculateur!$B$54-Calculateur!$B$58-IF(Hypotheses!$B$100="proportionnel",MAX(0,($A70*Calculateur!$B$56+$A70*G$65*Calculateur!$B$57)-Hypotheses!$B$97)/Hypotheses!$B$99,ROUNDUP(MAX(0,($A70*Calculateur!$B$56+$A70*G$65*Calculateur!$B$57)-Hypotheses!$B$97)/Hypotheses!$B$99,0))*Hypotheses!$B$101)*12),Hypotheses!$A$58)-Hypotheses!$A$57)*Hypotheses!$B$58+MAX(0,MAX(0,($A70*G$65*Calculateur!$B$54-Calculateur!$B$58-IF(Hypotheses!$B$100="proportionnel",MAX(0,($A70*Calculateur!$B$56+$A70*G$65*Calculateur!$B$57)-Hypotheses!$B$97)/Hypotheses!$B$99,ROUNDUP(MAX(0,($A70*Calculateur!$B$56+$A70*G$65*Calculateur!$B$57)-Hypotheses!$B$97)/Hypotheses!$B$99,0))*Hypotheses!$B$101)*12)-Hypotheses!$A$58)*Hypotheses!$B$59)*(1+Hypotheses!$B$60)*(1-Hypotheses!$B$61)/12))*Hypotheses!$B$65</f>
        <v/>
      </c>
      <c r="H70" s="21">
        <f>(($A70*H$65*Calculateur!$B$54-Calculateur!$B$58-IF(Hypotheses!$B$100="proportionnel",MAX(0,($A70*Calculateur!$B$56+$A70*H$65*Calculateur!$B$57)-Hypotheses!$B$97)/Hypotheses!$B$99,ROUNDUP(MAX(0,($A70*Calculateur!$B$56+$A70*H$65*Calculateur!$B$57)-Hypotheses!$B$97)/Hypotheses!$B$99,0))*Hypotheses!$B$101)-(MIN(MAX(0,($A70*H$65*Calculateur!$B$54-Calculateur!$B$58-IF(Hypotheses!$B$100="proportionnel",MAX(0,($A70*Calculateur!$B$56+$A70*H$65*Calculateur!$B$57)-Hypotheses!$B$97)/Hypotheses!$B$99,ROUNDUP(MAX(0,($A70*Calculateur!$B$56+$A70*H$65*Calculateur!$B$57)-Hypotheses!$B$97)/Hypotheses!$B$99,0))*Hypotheses!$B$101)*12),Hypotheses!$A$56)*Hypotheses!$B$56+MAX(0,MIN(MAX(0,($A70*H$65*Calculateur!$B$54-Calculateur!$B$58-IF(Hypotheses!$B$100="proportionnel",MAX(0,($A70*Calculateur!$B$56+$A70*H$65*Calculateur!$B$57)-Hypotheses!$B$97)/Hypotheses!$B$99,ROUNDUP(MAX(0,($A70*Calculateur!$B$56+$A70*H$65*Calculateur!$B$57)-Hypotheses!$B$97)/Hypotheses!$B$99,0))*Hypotheses!$B$101)*12),Hypotheses!$A$57)-Hypotheses!$A$56)*Hypotheses!$B$57+MAX(0,MIN(MAX(0,($A70*H$65*Calculateur!$B$54-Calculateur!$B$58-IF(Hypotheses!$B$100="proportionnel",MAX(0,($A70*Calculateur!$B$56+$A70*H$65*Calculateur!$B$57)-Hypotheses!$B$97)/Hypotheses!$B$99,ROUNDUP(MAX(0,($A70*Calculateur!$B$56+$A70*H$65*Calculateur!$B$57)-Hypotheses!$B$97)/Hypotheses!$B$99,0))*Hypotheses!$B$101)*12),Hypotheses!$A$58)-Hypotheses!$A$57)*Hypotheses!$B$58+MAX(0,MAX(0,($A70*H$65*Calculateur!$B$54-Calculateur!$B$58-IF(Hypotheses!$B$100="proportionnel",MAX(0,($A70*Calculateur!$B$56+$A70*H$65*Calculateur!$B$57)-Hypotheses!$B$97)/Hypotheses!$B$99,ROUNDUP(MAX(0,($A70*Calculateur!$B$56+$A70*H$65*Calculateur!$B$57)-Hypotheses!$B$97)/Hypotheses!$B$99,0))*Hypotheses!$B$101)*12)-Hypotheses!$A$58)*Hypotheses!$B$59)*(1+Hypotheses!$B$60)*(1-Hypotheses!$B$61)/12)-MAX(0,(($A70*H$65*Calculateur!$B$54-Calculateur!$B$58-IF(Hypotheses!$B$100="proportionnel",MAX(0,($A70*Calculateur!$B$56+$A70*H$65*Calculateur!$B$57)-Hypotheses!$B$97)/Hypotheses!$B$99,ROUNDUP(MAX(0,($A70*Calculateur!$B$56+$A70*H$65*Calculateur!$B$57)-Hypotheses!$B$97)/Hypotheses!$B$99,0))*Hypotheses!$B$101)-(MIN(MAX(0,($A70*H$65*Calculateur!$B$54-Calculateur!$B$58-IF(Hypotheses!$B$100="proportionnel",MAX(0,($A70*Calculateur!$B$56+$A70*H$65*Calculateur!$B$57)-Hypotheses!$B$97)/Hypotheses!$B$99,ROUNDUP(MAX(0,($A70*Calculateur!$B$56+$A70*H$65*Calculateur!$B$57)-Hypotheses!$B$97)/Hypotheses!$B$99,0))*Hypotheses!$B$101)*12),Hypotheses!$A$56)*Hypotheses!$B$56+MAX(0,MIN(MAX(0,($A70*H$65*Calculateur!$B$54-Calculateur!$B$58-IF(Hypotheses!$B$100="proportionnel",MAX(0,($A70*Calculateur!$B$56+$A70*H$65*Calculateur!$B$57)-Hypotheses!$B$97)/Hypotheses!$B$99,ROUNDUP(MAX(0,($A70*Calculateur!$B$56+$A70*H$65*Calculateur!$B$57)-Hypotheses!$B$97)/Hypotheses!$B$99,0))*Hypotheses!$B$101)*12),Hypotheses!$A$57)-Hypotheses!$A$56)*Hypotheses!$B$57+MAX(0,MIN(MAX(0,($A70*H$65*Calculateur!$B$54-Calculateur!$B$58-IF(Hypotheses!$B$100="proportionnel",MAX(0,($A70*Calculateur!$B$56+$A70*H$65*Calculateur!$B$57)-Hypotheses!$B$97)/Hypotheses!$B$99,ROUNDUP(MAX(0,($A70*Calculateur!$B$56+$A70*H$65*Calculateur!$B$57)-Hypotheses!$B$97)/Hypotheses!$B$99,0))*Hypotheses!$B$101)*12),Hypotheses!$A$58)-Hypotheses!$A$57)*Hypotheses!$B$58+MAX(0,MAX(0,($A70*H$65*Calculateur!$B$54-Calculateur!$B$58-IF(Hypotheses!$B$100="proportionnel",MAX(0,($A70*Calculateur!$B$56+$A70*H$65*Calculateur!$B$57)-Hypotheses!$B$97)/Hypotheses!$B$99,ROUNDUP(MAX(0,($A70*Calculateur!$B$56+$A70*H$65*Calculateur!$B$57)-Hypotheses!$B$97)/Hypotheses!$B$99,0))*Hypotheses!$B$101)*12)-Hypotheses!$A$58)*Hypotheses!$B$59)*(1+Hypotheses!$B$60)*(1-Hypotheses!$B$61)/12))*Hypotheses!$B$65</f>
        <v/>
      </c>
      <c r="I70" s="21">
        <f>(($A70*I$65*Calculateur!$B$54-Calculateur!$B$58-IF(Hypotheses!$B$100="proportionnel",MAX(0,($A70*Calculateur!$B$56+$A70*I$65*Calculateur!$B$57)-Hypotheses!$B$97)/Hypotheses!$B$99,ROUNDUP(MAX(0,($A70*Calculateur!$B$56+$A70*I$65*Calculateur!$B$57)-Hypotheses!$B$97)/Hypotheses!$B$99,0))*Hypotheses!$B$101)-(MIN(MAX(0,($A70*I$65*Calculateur!$B$54-Calculateur!$B$58-IF(Hypotheses!$B$100="proportionnel",MAX(0,($A70*Calculateur!$B$56+$A70*I$65*Calculateur!$B$57)-Hypotheses!$B$97)/Hypotheses!$B$99,ROUNDUP(MAX(0,($A70*Calculateur!$B$56+$A70*I$65*Calculateur!$B$57)-Hypotheses!$B$97)/Hypotheses!$B$99,0))*Hypotheses!$B$101)*12),Hypotheses!$A$56)*Hypotheses!$B$56+MAX(0,MIN(MAX(0,($A70*I$65*Calculateur!$B$54-Calculateur!$B$58-IF(Hypotheses!$B$100="proportionnel",MAX(0,($A70*Calculateur!$B$56+$A70*I$65*Calculateur!$B$57)-Hypotheses!$B$97)/Hypotheses!$B$99,ROUNDUP(MAX(0,($A70*Calculateur!$B$56+$A70*I$65*Calculateur!$B$57)-Hypotheses!$B$97)/Hypotheses!$B$99,0))*Hypotheses!$B$101)*12),Hypotheses!$A$57)-Hypotheses!$A$56)*Hypotheses!$B$57+MAX(0,MIN(MAX(0,($A70*I$65*Calculateur!$B$54-Calculateur!$B$58-IF(Hypotheses!$B$100="proportionnel",MAX(0,($A70*Calculateur!$B$56+$A70*I$65*Calculateur!$B$57)-Hypotheses!$B$97)/Hypotheses!$B$99,ROUNDUP(MAX(0,($A70*Calculateur!$B$56+$A70*I$65*Calculateur!$B$57)-Hypotheses!$B$97)/Hypotheses!$B$99,0))*Hypotheses!$B$101)*12),Hypotheses!$A$58)-Hypotheses!$A$57)*Hypotheses!$B$58+MAX(0,MAX(0,($A70*I$65*Calculateur!$B$54-Calculateur!$B$58-IF(Hypotheses!$B$100="proportionnel",MAX(0,($A70*Calculateur!$B$56+$A70*I$65*Calculateur!$B$57)-Hypotheses!$B$97)/Hypotheses!$B$99,ROUNDUP(MAX(0,($A70*Calculateur!$B$56+$A70*I$65*Calculateur!$B$57)-Hypotheses!$B$97)/Hypotheses!$B$99,0))*Hypotheses!$B$101)*12)-Hypotheses!$A$58)*Hypotheses!$B$59)*(1+Hypotheses!$B$60)*(1-Hypotheses!$B$61)/12)-MAX(0,(($A70*I$65*Calculateur!$B$54-Calculateur!$B$58-IF(Hypotheses!$B$100="proportionnel",MAX(0,($A70*Calculateur!$B$56+$A70*I$65*Calculateur!$B$57)-Hypotheses!$B$97)/Hypotheses!$B$99,ROUNDUP(MAX(0,($A70*Calculateur!$B$56+$A70*I$65*Calculateur!$B$57)-Hypotheses!$B$97)/Hypotheses!$B$99,0))*Hypotheses!$B$101)-(MIN(MAX(0,($A70*I$65*Calculateur!$B$54-Calculateur!$B$58-IF(Hypotheses!$B$100="proportionnel",MAX(0,($A70*Calculateur!$B$56+$A70*I$65*Calculateur!$B$57)-Hypotheses!$B$97)/Hypotheses!$B$99,ROUNDUP(MAX(0,($A70*Calculateur!$B$56+$A70*I$65*Calculateur!$B$57)-Hypotheses!$B$97)/Hypotheses!$B$99,0))*Hypotheses!$B$101)*12),Hypotheses!$A$56)*Hypotheses!$B$56+MAX(0,MIN(MAX(0,($A70*I$65*Calculateur!$B$54-Calculateur!$B$58-IF(Hypotheses!$B$100="proportionnel",MAX(0,($A70*Calculateur!$B$56+$A70*I$65*Calculateur!$B$57)-Hypotheses!$B$97)/Hypotheses!$B$99,ROUNDUP(MAX(0,($A70*Calculateur!$B$56+$A70*I$65*Calculateur!$B$57)-Hypotheses!$B$97)/Hypotheses!$B$99,0))*Hypotheses!$B$101)*12),Hypotheses!$A$57)-Hypotheses!$A$56)*Hypotheses!$B$57+MAX(0,MIN(MAX(0,($A70*I$65*Calculateur!$B$54-Calculateur!$B$58-IF(Hypotheses!$B$100="proportionnel",MAX(0,($A70*Calculateur!$B$56+$A70*I$65*Calculateur!$B$57)-Hypotheses!$B$97)/Hypotheses!$B$99,ROUNDUP(MAX(0,($A70*Calculateur!$B$56+$A70*I$65*Calculateur!$B$57)-Hypotheses!$B$97)/Hypotheses!$B$99,0))*Hypotheses!$B$101)*12),Hypotheses!$A$58)-Hypotheses!$A$57)*Hypotheses!$B$58+MAX(0,MAX(0,($A70*I$65*Calculateur!$B$54-Calculateur!$B$58-IF(Hypotheses!$B$100="proportionnel",MAX(0,($A70*Calculateur!$B$56+$A70*I$65*Calculateur!$B$57)-Hypotheses!$B$97)/Hypotheses!$B$99,ROUNDUP(MAX(0,($A70*Calculateur!$B$56+$A70*I$65*Calculateur!$B$57)-Hypotheses!$B$97)/Hypotheses!$B$99,0))*Hypotheses!$B$101)*12)-Hypotheses!$A$58)*Hypotheses!$B$59)*(1+Hypotheses!$B$60)*(1-Hypotheses!$B$61)/12))*Hypotheses!$B$65</f>
        <v/>
      </c>
    </row>
    <row r="71">
      <c r="A71" s="36" t="n">
        <v>30</v>
      </c>
      <c r="B71" s="21">
        <f>(($A71*B$65*Calculateur!$B$54-Calculateur!$B$58-IF(Hypotheses!$B$100="proportionnel",MAX(0,($A71*Calculateur!$B$56+$A71*B$65*Calculateur!$B$57)-Hypotheses!$B$97)/Hypotheses!$B$99,ROUNDUP(MAX(0,($A71*Calculateur!$B$56+$A71*B$65*Calculateur!$B$57)-Hypotheses!$B$97)/Hypotheses!$B$99,0))*Hypotheses!$B$101)-(MIN(MAX(0,($A71*B$65*Calculateur!$B$54-Calculateur!$B$58-IF(Hypotheses!$B$100="proportionnel",MAX(0,($A71*Calculateur!$B$56+$A71*B$65*Calculateur!$B$57)-Hypotheses!$B$97)/Hypotheses!$B$99,ROUNDUP(MAX(0,($A71*Calculateur!$B$56+$A71*B$65*Calculateur!$B$57)-Hypotheses!$B$97)/Hypotheses!$B$99,0))*Hypotheses!$B$101)*12),Hypotheses!$A$56)*Hypotheses!$B$56+MAX(0,MIN(MAX(0,($A71*B$65*Calculateur!$B$54-Calculateur!$B$58-IF(Hypotheses!$B$100="proportionnel",MAX(0,($A71*Calculateur!$B$56+$A71*B$65*Calculateur!$B$57)-Hypotheses!$B$97)/Hypotheses!$B$99,ROUNDUP(MAX(0,($A71*Calculateur!$B$56+$A71*B$65*Calculateur!$B$57)-Hypotheses!$B$97)/Hypotheses!$B$99,0))*Hypotheses!$B$101)*12),Hypotheses!$A$57)-Hypotheses!$A$56)*Hypotheses!$B$57+MAX(0,MIN(MAX(0,($A71*B$65*Calculateur!$B$54-Calculateur!$B$58-IF(Hypotheses!$B$100="proportionnel",MAX(0,($A71*Calculateur!$B$56+$A71*B$65*Calculateur!$B$57)-Hypotheses!$B$97)/Hypotheses!$B$99,ROUNDUP(MAX(0,($A71*Calculateur!$B$56+$A71*B$65*Calculateur!$B$57)-Hypotheses!$B$97)/Hypotheses!$B$99,0))*Hypotheses!$B$101)*12),Hypotheses!$A$58)-Hypotheses!$A$57)*Hypotheses!$B$58+MAX(0,MAX(0,($A71*B$65*Calculateur!$B$54-Calculateur!$B$58-IF(Hypotheses!$B$100="proportionnel",MAX(0,($A71*Calculateur!$B$56+$A71*B$65*Calculateur!$B$57)-Hypotheses!$B$97)/Hypotheses!$B$99,ROUNDUP(MAX(0,($A71*Calculateur!$B$56+$A71*B$65*Calculateur!$B$57)-Hypotheses!$B$97)/Hypotheses!$B$99,0))*Hypotheses!$B$101)*12)-Hypotheses!$A$58)*Hypotheses!$B$59)*(1+Hypotheses!$B$60)*(1-Hypotheses!$B$61)/12)-MAX(0,(($A71*B$65*Calculateur!$B$54-Calculateur!$B$58-IF(Hypotheses!$B$100="proportionnel",MAX(0,($A71*Calculateur!$B$56+$A71*B$65*Calculateur!$B$57)-Hypotheses!$B$97)/Hypotheses!$B$99,ROUNDUP(MAX(0,($A71*Calculateur!$B$56+$A71*B$65*Calculateur!$B$57)-Hypotheses!$B$97)/Hypotheses!$B$99,0))*Hypotheses!$B$101)-(MIN(MAX(0,($A71*B$65*Calculateur!$B$54-Calculateur!$B$58-IF(Hypotheses!$B$100="proportionnel",MAX(0,($A71*Calculateur!$B$56+$A71*B$65*Calculateur!$B$57)-Hypotheses!$B$97)/Hypotheses!$B$99,ROUNDUP(MAX(0,($A71*Calculateur!$B$56+$A71*B$65*Calculateur!$B$57)-Hypotheses!$B$97)/Hypotheses!$B$99,0))*Hypotheses!$B$101)*12),Hypotheses!$A$56)*Hypotheses!$B$56+MAX(0,MIN(MAX(0,($A71*B$65*Calculateur!$B$54-Calculateur!$B$58-IF(Hypotheses!$B$100="proportionnel",MAX(0,($A71*Calculateur!$B$56+$A71*B$65*Calculateur!$B$57)-Hypotheses!$B$97)/Hypotheses!$B$99,ROUNDUP(MAX(0,($A71*Calculateur!$B$56+$A71*B$65*Calculateur!$B$57)-Hypotheses!$B$97)/Hypotheses!$B$99,0))*Hypotheses!$B$101)*12),Hypotheses!$A$57)-Hypotheses!$A$56)*Hypotheses!$B$57+MAX(0,MIN(MAX(0,($A71*B$65*Calculateur!$B$54-Calculateur!$B$58-IF(Hypotheses!$B$100="proportionnel",MAX(0,($A71*Calculateur!$B$56+$A71*B$65*Calculateur!$B$57)-Hypotheses!$B$97)/Hypotheses!$B$99,ROUNDUP(MAX(0,($A71*Calculateur!$B$56+$A71*B$65*Calculateur!$B$57)-Hypotheses!$B$97)/Hypotheses!$B$99,0))*Hypotheses!$B$101)*12),Hypotheses!$A$58)-Hypotheses!$A$57)*Hypotheses!$B$58+MAX(0,MAX(0,($A71*B$65*Calculateur!$B$54-Calculateur!$B$58-IF(Hypotheses!$B$100="proportionnel",MAX(0,($A71*Calculateur!$B$56+$A71*B$65*Calculateur!$B$57)-Hypotheses!$B$97)/Hypotheses!$B$99,ROUNDUP(MAX(0,($A71*Calculateur!$B$56+$A71*B$65*Calculateur!$B$57)-Hypotheses!$B$97)/Hypotheses!$B$99,0))*Hypotheses!$B$101)*12)-Hypotheses!$A$58)*Hypotheses!$B$59)*(1+Hypotheses!$B$60)*(1-Hypotheses!$B$61)/12))*Hypotheses!$B$65</f>
        <v/>
      </c>
      <c r="C71" s="21">
        <f>(($A71*C$65*Calculateur!$B$54-Calculateur!$B$58-IF(Hypotheses!$B$100="proportionnel",MAX(0,($A71*Calculateur!$B$56+$A71*C$65*Calculateur!$B$57)-Hypotheses!$B$97)/Hypotheses!$B$99,ROUNDUP(MAX(0,($A71*Calculateur!$B$56+$A71*C$65*Calculateur!$B$57)-Hypotheses!$B$97)/Hypotheses!$B$99,0))*Hypotheses!$B$101)-(MIN(MAX(0,($A71*C$65*Calculateur!$B$54-Calculateur!$B$58-IF(Hypotheses!$B$100="proportionnel",MAX(0,($A71*Calculateur!$B$56+$A71*C$65*Calculateur!$B$57)-Hypotheses!$B$97)/Hypotheses!$B$99,ROUNDUP(MAX(0,($A71*Calculateur!$B$56+$A71*C$65*Calculateur!$B$57)-Hypotheses!$B$97)/Hypotheses!$B$99,0))*Hypotheses!$B$101)*12),Hypotheses!$A$56)*Hypotheses!$B$56+MAX(0,MIN(MAX(0,($A71*C$65*Calculateur!$B$54-Calculateur!$B$58-IF(Hypotheses!$B$100="proportionnel",MAX(0,($A71*Calculateur!$B$56+$A71*C$65*Calculateur!$B$57)-Hypotheses!$B$97)/Hypotheses!$B$99,ROUNDUP(MAX(0,($A71*Calculateur!$B$56+$A71*C$65*Calculateur!$B$57)-Hypotheses!$B$97)/Hypotheses!$B$99,0))*Hypotheses!$B$101)*12),Hypotheses!$A$57)-Hypotheses!$A$56)*Hypotheses!$B$57+MAX(0,MIN(MAX(0,($A71*C$65*Calculateur!$B$54-Calculateur!$B$58-IF(Hypotheses!$B$100="proportionnel",MAX(0,($A71*Calculateur!$B$56+$A71*C$65*Calculateur!$B$57)-Hypotheses!$B$97)/Hypotheses!$B$99,ROUNDUP(MAX(0,($A71*Calculateur!$B$56+$A71*C$65*Calculateur!$B$57)-Hypotheses!$B$97)/Hypotheses!$B$99,0))*Hypotheses!$B$101)*12),Hypotheses!$A$58)-Hypotheses!$A$57)*Hypotheses!$B$58+MAX(0,MAX(0,($A71*C$65*Calculateur!$B$54-Calculateur!$B$58-IF(Hypotheses!$B$100="proportionnel",MAX(0,($A71*Calculateur!$B$56+$A71*C$65*Calculateur!$B$57)-Hypotheses!$B$97)/Hypotheses!$B$99,ROUNDUP(MAX(0,($A71*Calculateur!$B$56+$A71*C$65*Calculateur!$B$57)-Hypotheses!$B$97)/Hypotheses!$B$99,0))*Hypotheses!$B$101)*12)-Hypotheses!$A$58)*Hypotheses!$B$59)*(1+Hypotheses!$B$60)*(1-Hypotheses!$B$61)/12)-MAX(0,(($A71*C$65*Calculateur!$B$54-Calculateur!$B$58-IF(Hypotheses!$B$100="proportionnel",MAX(0,($A71*Calculateur!$B$56+$A71*C$65*Calculateur!$B$57)-Hypotheses!$B$97)/Hypotheses!$B$99,ROUNDUP(MAX(0,($A71*Calculateur!$B$56+$A71*C$65*Calculateur!$B$57)-Hypotheses!$B$97)/Hypotheses!$B$99,0))*Hypotheses!$B$101)-(MIN(MAX(0,($A71*C$65*Calculateur!$B$54-Calculateur!$B$58-IF(Hypotheses!$B$100="proportionnel",MAX(0,($A71*Calculateur!$B$56+$A71*C$65*Calculateur!$B$57)-Hypotheses!$B$97)/Hypotheses!$B$99,ROUNDUP(MAX(0,($A71*Calculateur!$B$56+$A71*C$65*Calculateur!$B$57)-Hypotheses!$B$97)/Hypotheses!$B$99,0))*Hypotheses!$B$101)*12),Hypotheses!$A$56)*Hypotheses!$B$56+MAX(0,MIN(MAX(0,($A71*C$65*Calculateur!$B$54-Calculateur!$B$58-IF(Hypotheses!$B$100="proportionnel",MAX(0,($A71*Calculateur!$B$56+$A71*C$65*Calculateur!$B$57)-Hypotheses!$B$97)/Hypotheses!$B$99,ROUNDUP(MAX(0,($A71*Calculateur!$B$56+$A71*C$65*Calculateur!$B$57)-Hypotheses!$B$97)/Hypotheses!$B$99,0))*Hypotheses!$B$101)*12),Hypotheses!$A$57)-Hypotheses!$A$56)*Hypotheses!$B$57+MAX(0,MIN(MAX(0,($A71*C$65*Calculateur!$B$54-Calculateur!$B$58-IF(Hypotheses!$B$100="proportionnel",MAX(0,($A71*Calculateur!$B$56+$A71*C$65*Calculateur!$B$57)-Hypotheses!$B$97)/Hypotheses!$B$99,ROUNDUP(MAX(0,($A71*Calculateur!$B$56+$A71*C$65*Calculateur!$B$57)-Hypotheses!$B$97)/Hypotheses!$B$99,0))*Hypotheses!$B$101)*12),Hypotheses!$A$58)-Hypotheses!$A$57)*Hypotheses!$B$58+MAX(0,MAX(0,($A71*C$65*Calculateur!$B$54-Calculateur!$B$58-IF(Hypotheses!$B$100="proportionnel",MAX(0,($A71*Calculateur!$B$56+$A71*C$65*Calculateur!$B$57)-Hypotheses!$B$97)/Hypotheses!$B$99,ROUNDUP(MAX(0,($A71*Calculateur!$B$56+$A71*C$65*Calculateur!$B$57)-Hypotheses!$B$97)/Hypotheses!$B$99,0))*Hypotheses!$B$101)*12)-Hypotheses!$A$58)*Hypotheses!$B$59)*(1+Hypotheses!$B$60)*(1-Hypotheses!$B$61)/12))*Hypotheses!$B$65</f>
        <v/>
      </c>
      <c r="D71" s="21">
        <f>(($A71*D$65*Calculateur!$B$54-Calculateur!$B$58-IF(Hypotheses!$B$100="proportionnel",MAX(0,($A71*Calculateur!$B$56+$A71*D$65*Calculateur!$B$57)-Hypotheses!$B$97)/Hypotheses!$B$99,ROUNDUP(MAX(0,($A71*Calculateur!$B$56+$A71*D$65*Calculateur!$B$57)-Hypotheses!$B$97)/Hypotheses!$B$99,0))*Hypotheses!$B$101)-(MIN(MAX(0,($A71*D$65*Calculateur!$B$54-Calculateur!$B$58-IF(Hypotheses!$B$100="proportionnel",MAX(0,($A71*Calculateur!$B$56+$A71*D$65*Calculateur!$B$57)-Hypotheses!$B$97)/Hypotheses!$B$99,ROUNDUP(MAX(0,($A71*Calculateur!$B$56+$A71*D$65*Calculateur!$B$57)-Hypotheses!$B$97)/Hypotheses!$B$99,0))*Hypotheses!$B$101)*12),Hypotheses!$A$56)*Hypotheses!$B$56+MAX(0,MIN(MAX(0,($A71*D$65*Calculateur!$B$54-Calculateur!$B$58-IF(Hypotheses!$B$100="proportionnel",MAX(0,($A71*Calculateur!$B$56+$A71*D$65*Calculateur!$B$57)-Hypotheses!$B$97)/Hypotheses!$B$99,ROUNDUP(MAX(0,($A71*Calculateur!$B$56+$A71*D$65*Calculateur!$B$57)-Hypotheses!$B$97)/Hypotheses!$B$99,0))*Hypotheses!$B$101)*12),Hypotheses!$A$57)-Hypotheses!$A$56)*Hypotheses!$B$57+MAX(0,MIN(MAX(0,($A71*D$65*Calculateur!$B$54-Calculateur!$B$58-IF(Hypotheses!$B$100="proportionnel",MAX(0,($A71*Calculateur!$B$56+$A71*D$65*Calculateur!$B$57)-Hypotheses!$B$97)/Hypotheses!$B$99,ROUNDUP(MAX(0,($A71*Calculateur!$B$56+$A71*D$65*Calculateur!$B$57)-Hypotheses!$B$97)/Hypotheses!$B$99,0))*Hypotheses!$B$101)*12),Hypotheses!$A$58)-Hypotheses!$A$57)*Hypotheses!$B$58+MAX(0,MAX(0,($A71*D$65*Calculateur!$B$54-Calculateur!$B$58-IF(Hypotheses!$B$100="proportionnel",MAX(0,($A71*Calculateur!$B$56+$A71*D$65*Calculateur!$B$57)-Hypotheses!$B$97)/Hypotheses!$B$99,ROUNDUP(MAX(0,($A71*Calculateur!$B$56+$A71*D$65*Calculateur!$B$57)-Hypotheses!$B$97)/Hypotheses!$B$99,0))*Hypotheses!$B$101)*12)-Hypotheses!$A$58)*Hypotheses!$B$59)*(1+Hypotheses!$B$60)*(1-Hypotheses!$B$61)/12)-MAX(0,(($A71*D$65*Calculateur!$B$54-Calculateur!$B$58-IF(Hypotheses!$B$100="proportionnel",MAX(0,($A71*Calculateur!$B$56+$A71*D$65*Calculateur!$B$57)-Hypotheses!$B$97)/Hypotheses!$B$99,ROUNDUP(MAX(0,($A71*Calculateur!$B$56+$A71*D$65*Calculateur!$B$57)-Hypotheses!$B$97)/Hypotheses!$B$99,0))*Hypotheses!$B$101)-(MIN(MAX(0,($A71*D$65*Calculateur!$B$54-Calculateur!$B$58-IF(Hypotheses!$B$100="proportionnel",MAX(0,($A71*Calculateur!$B$56+$A71*D$65*Calculateur!$B$57)-Hypotheses!$B$97)/Hypotheses!$B$99,ROUNDUP(MAX(0,($A71*Calculateur!$B$56+$A71*D$65*Calculateur!$B$57)-Hypotheses!$B$97)/Hypotheses!$B$99,0))*Hypotheses!$B$101)*12),Hypotheses!$A$56)*Hypotheses!$B$56+MAX(0,MIN(MAX(0,($A71*D$65*Calculateur!$B$54-Calculateur!$B$58-IF(Hypotheses!$B$100="proportionnel",MAX(0,($A71*Calculateur!$B$56+$A71*D$65*Calculateur!$B$57)-Hypotheses!$B$97)/Hypotheses!$B$99,ROUNDUP(MAX(0,($A71*Calculateur!$B$56+$A71*D$65*Calculateur!$B$57)-Hypotheses!$B$97)/Hypotheses!$B$99,0))*Hypotheses!$B$101)*12),Hypotheses!$A$57)-Hypotheses!$A$56)*Hypotheses!$B$57+MAX(0,MIN(MAX(0,($A71*D$65*Calculateur!$B$54-Calculateur!$B$58-IF(Hypotheses!$B$100="proportionnel",MAX(0,($A71*Calculateur!$B$56+$A71*D$65*Calculateur!$B$57)-Hypotheses!$B$97)/Hypotheses!$B$99,ROUNDUP(MAX(0,($A71*Calculateur!$B$56+$A71*D$65*Calculateur!$B$57)-Hypotheses!$B$97)/Hypotheses!$B$99,0))*Hypotheses!$B$101)*12),Hypotheses!$A$58)-Hypotheses!$A$57)*Hypotheses!$B$58+MAX(0,MAX(0,($A71*D$65*Calculateur!$B$54-Calculateur!$B$58-IF(Hypotheses!$B$100="proportionnel",MAX(0,($A71*Calculateur!$B$56+$A71*D$65*Calculateur!$B$57)-Hypotheses!$B$97)/Hypotheses!$B$99,ROUNDUP(MAX(0,($A71*Calculateur!$B$56+$A71*D$65*Calculateur!$B$57)-Hypotheses!$B$97)/Hypotheses!$B$99,0))*Hypotheses!$B$101)*12)-Hypotheses!$A$58)*Hypotheses!$B$59)*(1+Hypotheses!$B$60)*(1-Hypotheses!$B$61)/12))*Hypotheses!$B$65</f>
        <v/>
      </c>
      <c r="E71" s="21">
        <f>(($A71*E$65*Calculateur!$B$54-Calculateur!$B$58-IF(Hypotheses!$B$100="proportionnel",MAX(0,($A71*Calculateur!$B$56+$A71*E$65*Calculateur!$B$57)-Hypotheses!$B$97)/Hypotheses!$B$99,ROUNDUP(MAX(0,($A71*Calculateur!$B$56+$A71*E$65*Calculateur!$B$57)-Hypotheses!$B$97)/Hypotheses!$B$99,0))*Hypotheses!$B$101)-(MIN(MAX(0,($A71*E$65*Calculateur!$B$54-Calculateur!$B$58-IF(Hypotheses!$B$100="proportionnel",MAX(0,($A71*Calculateur!$B$56+$A71*E$65*Calculateur!$B$57)-Hypotheses!$B$97)/Hypotheses!$B$99,ROUNDUP(MAX(0,($A71*Calculateur!$B$56+$A71*E$65*Calculateur!$B$57)-Hypotheses!$B$97)/Hypotheses!$B$99,0))*Hypotheses!$B$101)*12),Hypotheses!$A$56)*Hypotheses!$B$56+MAX(0,MIN(MAX(0,($A71*E$65*Calculateur!$B$54-Calculateur!$B$58-IF(Hypotheses!$B$100="proportionnel",MAX(0,($A71*Calculateur!$B$56+$A71*E$65*Calculateur!$B$57)-Hypotheses!$B$97)/Hypotheses!$B$99,ROUNDUP(MAX(0,($A71*Calculateur!$B$56+$A71*E$65*Calculateur!$B$57)-Hypotheses!$B$97)/Hypotheses!$B$99,0))*Hypotheses!$B$101)*12),Hypotheses!$A$57)-Hypotheses!$A$56)*Hypotheses!$B$57+MAX(0,MIN(MAX(0,($A71*E$65*Calculateur!$B$54-Calculateur!$B$58-IF(Hypotheses!$B$100="proportionnel",MAX(0,($A71*Calculateur!$B$56+$A71*E$65*Calculateur!$B$57)-Hypotheses!$B$97)/Hypotheses!$B$99,ROUNDUP(MAX(0,($A71*Calculateur!$B$56+$A71*E$65*Calculateur!$B$57)-Hypotheses!$B$97)/Hypotheses!$B$99,0))*Hypotheses!$B$101)*12),Hypotheses!$A$58)-Hypotheses!$A$57)*Hypotheses!$B$58+MAX(0,MAX(0,($A71*E$65*Calculateur!$B$54-Calculateur!$B$58-IF(Hypotheses!$B$100="proportionnel",MAX(0,($A71*Calculateur!$B$56+$A71*E$65*Calculateur!$B$57)-Hypotheses!$B$97)/Hypotheses!$B$99,ROUNDUP(MAX(0,($A71*Calculateur!$B$56+$A71*E$65*Calculateur!$B$57)-Hypotheses!$B$97)/Hypotheses!$B$99,0))*Hypotheses!$B$101)*12)-Hypotheses!$A$58)*Hypotheses!$B$59)*(1+Hypotheses!$B$60)*(1-Hypotheses!$B$61)/12)-MAX(0,(($A71*E$65*Calculateur!$B$54-Calculateur!$B$58-IF(Hypotheses!$B$100="proportionnel",MAX(0,($A71*Calculateur!$B$56+$A71*E$65*Calculateur!$B$57)-Hypotheses!$B$97)/Hypotheses!$B$99,ROUNDUP(MAX(0,($A71*Calculateur!$B$56+$A71*E$65*Calculateur!$B$57)-Hypotheses!$B$97)/Hypotheses!$B$99,0))*Hypotheses!$B$101)-(MIN(MAX(0,($A71*E$65*Calculateur!$B$54-Calculateur!$B$58-IF(Hypotheses!$B$100="proportionnel",MAX(0,($A71*Calculateur!$B$56+$A71*E$65*Calculateur!$B$57)-Hypotheses!$B$97)/Hypotheses!$B$99,ROUNDUP(MAX(0,($A71*Calculateur!$B$56+$A71*E$65*Calculateur!$B$57)-Hypotheses!$B$97)/Hypotheses!$B$99,0))*Hypotheses!$B$101)*12),Hypotheses!$A$56)*Hypotheses!$B$56+MAX(0,MIN(MAX(0,($A71*E$65*Calculateur!$B$54-Calculateur!$B$58-IF(Hypotheses!$B$100="proportionnel",MAX(0,($A71*Calculateur!$B$56+$A71*E$65*Calculateur!$B$57)-Hypotheses!$B$97)/Hypotheses!$B$99,ROUNDUP(MAX(0,($A71*Calculateur!$B$56+$A71*E$65*Calculateur!$B$57)-Hypotheses!$B$97)/Hypotheses!$B$99,0))*Hypotheses!$B$101)*12),Hypotheses!$A$57)-Hypotheses!$A$56)*Hypotheses!$B$57+MAX(0,MIN(MAX(0,($A71*E$65*Calculateur!$B$54-Calculateur!$B$58-IF(Hypotheses!$B$100="proportionnel",MAX(0,($A71*Calculateur!$B$56+$A71*E$65*Calculateur!$B$57)-Hypotheses!$B$97)/Hypotheses!$B$99,ROUNDUP(MAX(0,($A71*Calculateur!$B$56+$A71*E$65*Calculateur!$B$57)-Hypotheses!$B$97)/Hypotheses!$B$99,0))*Hypotheses!$B$101)*12),Hypotheses!$A$58)-Hypotheses!$A$57)*Hypotheses!$B$58+MAX(0,MAX(0,($A71*E$65*Calculateur!$B$54-Calculateur!$B$58-IF(Hypotheses!$B$100="proportionnel",MAX(0,($A71*Calculateur!$B$56+$A71*E$65*Calculateur!$B$57)-Hypotheses!$B$97)/Hypotheses!$B$99,ROUNDUP(MAX(0,($A71*Calculateur!$B$56+$A71*E$65*Calculateur!$B$57)-Hypotheses!$B$97)/Hypotheses!$B$99,0))*Hypotheses!$B$101)*12)-Hypotheses!$A$58)*Hypotheses!$B$59)*(1+Hypotheses!$B$60)*(1-Hypotheses!$B$61)/12))*Hypotheses!$B$65</f>
        <v/>
      </c>
      <c r="F71" s="21">
        <f>(($A71*F$65*Calculateur!$B$54-Calculateur!$B$58-IF(Hypotheses!$B$100="proportionnel",MAX(0,($A71*Calculateur!$B$56+$A71*F$65*Calculateur!$B$57)-Hypotheses!$B$97)/Hypotheses!$B$99,ROUNDUP(MAX(0,($A71*Calculateur!$B$56+$A71*F$65*Calculateur!$B$57)-Hypotheses!$B$97)/Hypotheses!$B$99,0))*Hypotheses!$B$101)-(MIN(MAX(0,($A71*F$65*Calculateur!$B$54-Calculateur!$B$58-IF(Hypotheses!$B$100="proportionnel",MAX(0,($A71*Calculateur!$B$56+$A71*F$65*Calculateur!$B$57)-Hypotheses!$B$97)/Hypotheses!$B$99,ROUNDUP(MAX(0,($A71*Calculateur!$B$56+$A71*F$65*Calculateur!$B$57)-Hypotheses!$B$97)/Hypotheses!$B$99,0))*Hypotheses!$B$101)*12),Hypotheses!$A$56)*Hypotheses!$B$56+MAX(0,MIN(MAX(0,($A71*F$65*Calculateur!$B$54-Calculateur!$B$58-IF(Hypotheses!$B$100="proportionnel",MAX(0,($A71*Calculateur!$B$56+$A71*F$65*Calculateur!$B$57)-Hypotheses!$B$97)/Hypotheses!$B$99,ROUNDUP(MAX(0,($A71*Calculateur!$B$56+$A71*F$65*Calculateur!$B$57)-Hypotheses!$B$97)/Hypotheses!$B$99,0))*Hypotheses!$B$101)*12),Hypotheses!$A$57)-Hypotheses!$A$56)*Hypotheses!$B$57+MAX(0,MIN(MAX(0,($A71*F$65*Calculateur!$B$54-Calculateur!$B$58-IF(Hypotheses!$B$100="proportionnel",MAX(0,($A71*Calculateur!$B$56+$A71*F$65*Calculateur!$B$57)-Hypotheses!$B$97)/Hypotheses!$B$99,ROUNDUP(MAX(0,($A71*Calculateur!$B$56+$A71*F$65*Calculateur!$B$57)-Hypotheses!$B$97)/Hypotheses!$B$99,0))*Hypotheses!$B$101)*12),Hypotheses!$A$58)-Hypotheses!$A$57)*Hypotheses!$B$58+MAX(0,MAX(0,($A71*F$65*Calculateur!$B$54-Calculateur!$B$58-IF(Hypotheses!$B$100="proportionnel",MAX(0,($A71*Calculateur!$B$56+$A71*F$65*Calculateur!$B$57)-Hypotheses!$B$97)/Hypotheses!$B$99,ROUNDUP(MAX(0,($A71*Calculateur!$B$56+$A71*F$65*Calculateur!$B$57)-Hypotheses!$B$97)/Hypotheses!$B$99,0))*Hypotheses!$B$101)*12)-Hypotheses!$A$58)*Hypotheses!$B$59)*(1+Hypotheses!$B$60)*(1-Hypotheses!$B$61)/12)-MAX(0,(($A71*F$65*Calculateur!$B$54-Calculateur!$B$58-IF(Hypotheses!$B$100="proportionnel",MAX(0,($A71*Calculateur!$B$56+$A71*F$65*Calculateur!$B$57)-Hypotheses!$B$97)/Hypotheses!$B$99,ROUNDUP(MAX(0,($A71*Calculateur!$B$56+$A71*F$65*Calculateur!$B$57)-Hypotheses!$B$97)/Hypotheses!$B$99,0))*Hypotheses!$B$101)-(MIN(MAX(0,($A71*F$65*Calculateur!$B$54-Calculateur!$B$58-IF(Hypotheses!$B$100="proportionnel",MAX(0,($A71*Calculateur!$B$56+$A71*F$65*Calculateur!$B$57)-Hypotheses!$B$97)/Hypotheses!$B$99,ROUNDUP(MAX(0,($A71*Calculateur!$B$56+$A71*F$65*Calculateur!$B$57)-Hypotheses!$B$97)/Hypotheses!$B$99,0))*Hypotheses!$B$101)*12),Hypotheses!$A$56)*Hypotheses!$B$56+MAX(0,MIN(MAX(0,($A71*F$65*Calculateur!$B$54-Calculateur!$B$58-IF(Hypotheses!$B$100="proportionnel",MAX(0,($A71*Calculateur!$B$56+$A71*F$65*Calculateur!$B$57)-Hypotheses!$B$97)/Hypotheses!$B$99,ROUNDUP(MAX(0,($A71*Calculateur!$B$56+$A71*F$65*Calculateur!$B$57)-Hypotheses!$B$97)/Hypotheses!$B$99,0))*Hypotheses!$B$101)*12),Hypotheses!$A$57)-Hypotheses!$A$56)*Hypotheses!$B$57+MAX(0,MIN(MAX(0,($A71*F$65*Calculateur!$B$54-Calculateur!$B$58-IF(Hypotheses!$B$100="proportionnel",MAX(0,($A71*Calculateur!$B$56+$A71*F$65*Calculateur!$B$57)-Hypotheses!$B$97)/Hypotheses!$B$99,ROUNDUP(MAX(0,($A71*Calculateur!$B$56+$A71*F$65*Calculateur!$B$57)-Hypotheses!$B$97)/Hypotheses!$B$99,0))*Hypotheses!$B$101)*12),Hypotheses!$A$58)-Hypotheses!$A$57)*Hypotheses!$B$58+MAX(0,MAX(0,($A71*F$65*Calculateur!$B$54-Calculateur!$B$58-IF(Hypotheses!$B$100="proportionnel",MAX(0,($A71*Calculateur!$B$56+$A71*F$65*Calculateur!$B$57)-Hypotheses!$B$97)/Hypotheses!$B$99,ROUNDUP(MAX(0,($A71*Calculateur!$B$56+$A71*F$65*Calculateur!$B$57)-Hypotheses!$B$97)/Hypotheses!$B$99,0))*Hypotheses!$B$101)*12)-Hypotheses!$A$58)*Hypotheses!$B$59)*(1+Hypotheses!$B$60)*(1-Hypotheses!$B$61)/12))*Hypotheses!$B$65</f>
        <v/>
      </c>
      <c r="G71" s="21">
        <f>(($A71*G$65*Calculateur!$B$54-Calculateur!$B$58-IF(Hypotheses!$B$100="proportionnel",MAX(0,($A71*Calculateur!$B$56+$A71*G$65*Calculateur!$B$57)-Hypotheses!$B$97)/Hypotheses!$B$99,ROUNDUP(MAX(0,($A71*Calculateur!$B$56+$A71*G$65*Calculateur!$B$57)-Hypotheses!$B$97)/Hypotheses!$B$99,0))*Hypotheses!$B$101)-(MIN(MAX(0,($A71*G$65*Calculateur!$B$54-Calculateur!$B$58-IF(Hypotheses!$B$100="proportionnel",MAX(0,($A71*Calculateur!$B$56+$A71*G$65*Calculateur!$B$57)-Hypotheses!$B$97)/Hypotheses!$B$99,ROUNDUP(MAX(0,($A71*Calculateur!$B$56+$A71*G$65*Calculateur!$B$57)-Hypotheses!$B$97)/Hypotheses!$B$99,0))*Hypotheses!$B$101)*12),Hypotheses!$A$56)*Hypotheses!$B$56+MAX(0,MIN(MAX(0,($A71*G$65*Calculateur!$B$54-Calculateur!$B$58-IF(Hypotheses!$B$100="proportionnel",MAX(0,($A71*Calculateur!$B$56+$A71*G$65*Calculateur!$B$57)-Hypotheses!$B$97)/Hypotheses!$B$99,ROUNDUP(MAX(0,($A71*Calculateur!$B$56+$A71*G$65*Calculateur!$B$57)-Hypotheses!$B$97)/Hypotheses!$B$99,0))*Hypotheses!$B$101)*12),Hypotheses!$A$57)-Hypotheses!$A$56)*Hypotheses!$B$57+MAX(0,MIN(MAX(0,($A71*G$65*Calculateur!$B$54-Calculateur!$B$58-IF(Hypotheses!$B$100="proportionnel",MAX(0,($A71*Calculateur!$B$56+$A71*G$65*Calculateur!$B$57)-Hypotheses!$B$97)/Hypotheses!$B$99,ROUNDUP(MAX(0,($A71*Calculateur!$B$56+$A71*G$65*Calculateur!$B$57)-Hypotheses!$B$97)/Hypotheses!$B$99,0))*Hypotheses!$B$101)*12),Hypotheses!$A$58)-Hypotheses!$A$57)*Hypotheses!$B$58+MAX(0,MAX(0,($A71*G$65*Calculateur!$B$54-Calculateur!$B$58-IF(Hypotheses!$B$100="proportionnel",MAX(0,($A71*Calculateur!$B$56+$A71*G$65*Calculateur!$B$57)-Hypotheses!$B$97)/Hypotheses!$B$99,ROUNDUP(MAX(0,($A71*Calculateur!$B$56+$A71*G$65*Calculateur!$B$57)-Hypotheses!$B$97)/Hypotheses!$B$99,0))*Hypotheses!$B$101)*12)-Hypotheses!$A$58)*Hypotheses!$B$59)*(1+Hypotheses!$B$60)*(1-Hypotheses!$B$61)/12)-MAX(0,(($A71*G$65*Calculateur!$B$54-Calculateur!$B$58-IF(Hypotheses!$B$100="proportionnel",MAX(0,($A71*Calculateur!$B$56+$A71*G$65*Calculateur!$B$57)-Hypotheses!$B$97)/Hypotheses!$B$99,ROUNDUP(MAX(0,($A71*Calculateur!$B$56+$A71*G$65*Calculateur!$B$57)-Hypotheses!$B$97)/Hypotheses!$B$99,0))*Hypotheses!$B$101)-(MIN(MAX(0,($A71*G$65*Calculateur!$B$54-Calculateur!$B$58-IF(Hypotheses!$B$100="proportionnel",MAX(0,($A71*Calculateur!$B$56+$A71*G$65*Calculateur!$B$57)-Hypotheses!$B$97)/Hypotheses!$B$99,ROUNDUP(MAX(0,($A71*Calculateur!$B$56+$A71*G$65*Calculateur!$B$57)-Hypotheses!$B$97)/Hypotheses!$B$99,0))*Hypotheses!$B$101)*12),Hypotheses!$A$56)*Hypotheses!$B$56+MAX(0,MIN(MAX(0,($A71*G$65*Calculateur!$B$54-Calculateur!$B$58-IF(Hypotheses!$B$100="proportionnel",MAX(0,($A71*Calculateur!$B$56+$A71*G$65*Calculateur!$B$57)-Hypotheses!$B$97)/Hypotheses!$B$99,ROUNDUP(MAX(0,($A71*Calculateur!$B$56+$A71*G$65*Calculateur!$B$57)-Hypotheses!$B$97)/Hypotheses!$B$99,0))*Hypotheses!$B$101)*12),Hypotheses!$A$57)-Hypotheses!$A$56)*Hypotheses!$B$57+MAX(0,MIN(MAX(0,($A71*G$65*Calculateur!$B$54-Calculateur!$B$58-IF(Hypotheses!$B$100="proportionnel",MAX(0,($A71*Calculateur!$B$56+$A71*G$65*Calculateur!$B$57)-Hypotheses!$B$97)/Hypotheses!$B$99,ROUNDUP(MAX(0,($A71*Calculateur!$B$56+$A71*G$65*Calculateur!$B$57)-Hypotheses!$B$97)/Hypotheses!$B$99,0))*Hypotheses!$B$101)*12),Hypotheses!$A$58)-Hypotheses!$A$57)*Hypotheses!$B$58+MAX(0,MAX(0,($A71*G$65*Calculateur!$B$54-Calculateur!$B$58-IF(Hypotheses!$B$100="proportionnel",MAX(0,($A71*Calculateur!$B$56+$A71*G$65*Calculateur!$B$57)-Hypotheses!$B$97)/Hypotheses!$B$99,ROUNDUP(MAX(0,($A71*Calculateur!$B$56+$A71*G$65*Calculateur!$B$57)-Hypotheses!$B$97)/Hypotheses!$B$99,0))*Hypotheses!$B$101)*12)-Hypotheses!$A$58)*Hypotheses!$B$59)*(1+Hypotheses!$B$60)*(1-Hypotheses!$B$61)/12))*Hypotheses!$B$65</f>
        <v/>
      </c>
      <c r="H71" s="21">
        <f>(($A71*H$65*Calculateur!$B$54-Calculateur!$B$58-IF(Hypotheses!$B$100="proportionnel",MAX(0,($A71*Calculateur!$B$56+$A71*H$65*Calculateur!$B$57)-Hypotheses!$B$97)/Hypotheses!$B$99,ROUNDUP(MAX(0,($A71*Calculateur!$B$56+$A71*H$65*Calculateur!$B$57)-Hypotheses!$B$97)/Hypotheses!$B$99,0))*Hypotheses!$B$101)-(MIN(MAX(0,($A71*H$65*Calculateur!$B$54-Calculateur!$B$58-IF(Hypotheses!$B$100="proportionnel",MAX(0,($A71*Calculateur!$B$56+$A71*H$65*Calculateur!$B$57)-Hypotheses!$B$97)/Hypotheses!$B$99,ROUNDUP(MAX(0,($A71*Calculateur!$B$56+$A71*H$65*Calculateur!$B$57)-Hypotheses!$B$97)/Hypotheses!$B$99,0))*Hypotheses!$B$101)*12),Hypotheses!$A$56)*Hypotheses!$B$56+MAX(0,MIN(MAX(0,($A71*H$65*Calculateur!$B$54-Calculateur!$B$58-IF(Hypotheses!$B$100="proportionnel",MAX(0,($A71*Calculateur!$B$56+$A71*H$65*Calculateur!$B$57)-Hypotheses!$B$97)/Hypotheses!$B$99,ROUNDUP(MAX(0,($A71*Calculateur!$B$56+$A71*H$65*Calculateur!$B$57)-Hypotheses!$B$97)/Hypotheses!$B$99,0))*Hypotheses!$B$101)*12),Hypotheses!$A$57)-Hypotheses!$A$56)*Hypotheses!$B$57+MAX(0,MIN(MAX(0,($A71*H$65*Calculateur!$B$54-Calculateur!$B$58-IF(Hypotheses!$B$100="proportionnel",MAX(0,($A71*Calculateur!$B$56+$A71*H$65*Calculateur!$B$57)-Hypotheses!$B$97)/Hypotheses!$B$99,ROUNDUP(MAX(0,($A71*Calculateur!$B$56+$A71*H$65*Calculateur!$B$57)-Hypotheses!$B$97)/Hypotheses!$B$99,0))*Hypotheses!$B$101)*12),Hypotheses!$A$58)-Hypotheses!$A$57)*Hypotheses!$B$58+MAX(0,MAX(0,($A71*H$65*Calculateur!$B$54-Calculateur!$B$58-IF(Hypotheses!$B$100="proportionnel",MAX(0,($A71*Calculateur!$B$56+$A71*H$65*Calculateur!$B$57)-Hypotheses!$B$97)/Hypotheses!$B$99,ROUNDUP(MAX(0,($A71*Calculateur!$B$56+$A71*H$65*Calculateur!$B$57)-Hypotheses!$B$97)/Hypotheses!$B$99,0))*Hypotheses!$B$101)*12)-Hypotheses!$A$58)*Hypotheses!$B$59)*(1+Hypotheses!$B$60)*(1-Hypotheses!$B$61)/12)-MAX(0,(($A71*H$65*Calculateur!$B$54-Calculateur!$B$58-IF(Hypotheses!$B$100="proportionnel",MAX(0,($A71*Calculateur!$B$56+$A71*H$65*Calculateur!$B$57)-Hypotheses!$B$97)/Hypotheses!$B$99,ROUNDUP(MAX(0,($A71*Calculateur!$B$56+$A71*H$65*Calculateur!$B$57)-Hypotheses!$B$97)/Hypotheses!$B$99,0))*Hypotheses!$B$101)-(MIN(MAX(0,($A71*H$65*Calculateur!$B$54-Calculateur!$B$58-IF(Hypotheses!$B$100="proportionnel",MAX(0,($A71*Calculateur!$B$56+$A71*H$65*Calculateur!$B$57)-Hypotheses!$B$97)/Hypotheses!$B$99,ROUNDUP(MAX(0,($A71*Calculateur!$B$56+$A71*H$65*Calculateur!$B$57)-Hypotheses!$B$97)/Hypotheses!$B$99,0))*Hypotheses!$B$101)*12),Hypotheses!$A$56)*Hypotheses!$B$56+MAX(0,MIN(MAX(0,($A71*H$65*Calculateur!$B$54-Calculateur!$B$58-IF(Hypotheses!$B$100="proportionnel",MAX(0,($A71*Calculateur!$B$56+$A71*H$65*Calculateur!$B$57)-Hypotheses!$B$97)/Hypotheses!$B$99,ROUNDUP(MAX(0,($A71*Calculateur!$B$56+$A71*H$65*Calculateur!$B$57)-Hypotheses!$B$97)/Hypotheses!$B$99,0))*Hypotheses!$B$101)*12),Hypotheses!$A$57)-Hypotheses!$A$56)*Hypotheses!$B$57+MAX(0,MIN(MAX(0,($A71*H$65*Calculateur!$B$54-Calculateur!$B$58-IF(Hypotheses!$B$100="proportionnel",MAX(0,($A71*Calculateur!$B$56+$A71*H$65*Calculateur!$B$57)-Hypotheses!$B$97)/Hypotheses!$B$99,ROUNDUP(MAX(0,($A71*Calculateur!$B$56+$A71*H$65*Calculateur!$B$57)-Hypotheses!$B$97)/Hypotheses!$B$99,0))*Hypotheses!$B$101)*12),Hypotheses!$A$58)-Hypotheses!$A$57)*Hypotheses!$B$58+MAX(0,MAX(0,($A71*H$65*Calculateur!$B$54-Calculateur!$B$58-IF(Hypotheses!$B$100="proportionnel",MAX(0,($A71*Calculateur!$B$56+$A71*H$65*Calculateur!$B$57)-Hypotheses!$B$97)/Hypotheses!$B$99,ROUNDUP(MAX(0,($A71*Calculateur!$B$56+$A71*H$65*Calculateur!$B$57)-Hypotheses!$B$97)/Hypotheses!$B$99,0))*Hypotheses!$B$101)*12)-Hypotheses!$A$58)*Hypotheses!$B$59)*(1+Hypotheses!$B$60)*(1-Hypotheses!$B$61)/12))*Hypotheses!$B$65</f>
        <v/>
      </c>
      <c r="I71" s="21">
        <f>(($A71*I$65*Calculateur!$B$54-Calculateur!$B$58-IF(Hypotheses!$B$100="proportionnel",MAX(0,($A71*Calculateur!$B$56+$A71*I$65*Calculateur!$B$57)-Hypotheses!$B$97)/Hypotheses!$B$99,ROUNDUP(MAX(0,($A71*Calculateur!$B$56+$A71*I$65*Calculateur!$B$57)-Hypotheses!$B$97)/Hypotheses!$B$99,0))*Hypotheses!$B$101)-(MIN(MAX(0,($A71*I$65*Calculateur!$B$54-Calculateur!$B$58-IF(Hypotheses!$B$100="proportionnel",MAX(0,($A71*Calculateur!$B$56+$A71*I$65*Calculateur!$B$57)-Hypotheses!$B$97)/Hypotheses!$B$99,ROUNDUP(MAX(0,($A71*Calculateur!$B$56+$A71*I$65*Calculateur!$B$57)-Hypotheses!$B$97)/Hypotheses!$B$99,0))*Hypotheses!$B$101)*12),Hypotheses!$A$56)*Hypotheses!$B$56+MAX(0,MIN(MAX(0,($A71*I$65*Calculateur!$B$54-Calculateur!$B$58-IF(Hypotheses!$B$100="proportionnel",MAX(0,($A71*Calculateur!$B$56+$A71*I$65*Calculateur!$B$57)-Hypotheses!$B$97)/Hypotheses!$B$99,ROUNDUP(MAX(0,($A71*Calculateur!$B$56+$A71*I$65*Calculateur!$B$57)-Hypotheses!$B$97)/Hypotheses!$B$99,0))*Hypotheses!$B$101)*12),Hypotheses!$A$57)-Hypotheses!$A$56)*Hypotheses!$B$57+MAX(0,MIN(MAX(0,($A71*I$65*Calculateur!$B$54-Calculateur!$B$58-IF(Hypotheses!$B$100="proportionnel",MAX(0,($A71*Calculateur!$B$56+$A71*I$65*Calculateur!$B$57)-Hypotheses!$B$97)/Hypotheses!$B$99,ROUNDUP(MAX(0,($A71*Calculateur!$B$56+$A71*I$65*Calculateur!$B$57)-Hypotheses!$B$97)/Hypotheses!$B$99,0))*Hypotheses!$B$101)*12),Hypotheses!$A$58)-Hypotheses!$A$57)*Hypotheses!$B$58+MAX(0,MAX(0,($A71*I$65*Calculateur!$B$54-Calculateur!$B$58-IF(Hypotheses!$B$100="proportionnel",MAX(0,($A71*Calculateur!$B$56+$A71*I$65*Calculateur!$B$57)-Hypotheses!$B$97)/Hypotheses!$B$99,ROUNDUP(MAX(0,($A71*Calculateur!$B$56+$A71*I$65*Calculateur!$B$57)-Hypotheses!$B$97)/Hypotheses!$B$99,0))*Hypotheses!$B$101)*12)-Hypotheses!$A$58)*Hypotheses!$B$59)*(1+Hypotheses!$B$60)*(1-Hypotheses!$B$61)/12)-MAX(0,(($A71*I$65*Calculateur!$B$54-Calculateur!$B$58-IF(Hypotheses!$B$100="proportionnel",MAX(0,($A71*Calculateur!$B$56+$A71*I$65*Calculateur!$B$57)-Hypotheses!$B$97)/Hypotheses!$B$99,ROUNDUP(MAX(0,($A71*Calculateur!$B$56+$A71*I$65*Calculateur!$B$57)-Hypotheses!$B$97)/Hypotheses!$B$99,0))*Hypotheses!$B$101)-(MIN(MAX(0,($A71*I$65*Calculateur!$B$54-Calculateur!$B$58-IF(Hypotheses!$B$100="proportionnel",MAX(0,($A71*Calculateur!$B$56+$A71*I$65*Calculateur!$B$57)-Hypotheses!$B$97)/Hypotheses!$B$99,ROUNDUP(MAX(0,($A71*Calculateur!$B$56+$A71*I$65*Calculateur!$B$57)-Hypotheses!$B$97)/Hypotheses!$B$99,0))*Hypotheses!$B$101)*12),Hypotheses!$A$56)*Hypotheses!$B$56+MAX(0,MIN(MAX(0,($A71*I$65*Calculateur!$B$54-Calculateur!$B$58-IF(Hypotheses!$B$100="proportionnel",MAX(0,($A71*Calculateur!$B$56+$A71*I$65*Calculateur!$B$57)-Hypotheses!$B$97)/Hypotheses!$B$99,ROUNDUP(MAX(0,($A71*Calculateur!$B$56+$A71*I$65*Calculateur!$B$57)-Hypotheses!$B$97)/Hypotheses!$B$99,0))*Hypotheses!$B$101)*12),Hypotheses!$A$57)-Hypotheses!$A$56)*Hypotheses!$B$57+MAX(0,MIN(MAX(0,($A71*I$65*Calculateur!$B$54-Calculateur!$B$58-IF(Hypotheses!$B$100="proportionnel",MAX(0,($A71*Calculateur!$B$56+$A71*I$65*Calculateur!$B$57)-Hypotheses!$B$97)/Hypotheses!$B$99,ROUNDUP(MAX(0,($A71*Calculateur!$B$56+$A71*I$65*Calculateur!$B$57)-Hypotheses!$B$97)/Hypotheses!$B$99,0))*Hypotheses!$B$101)*12),Hypotheses!$A$58)-Hypotheses!$A$57)*Hypotheses!$B$58+MAX(0,MAX(0,($A71*I$65*Calculateur!$B$54-Calculateur!$B$58-IF(Hypotheses!$B$100="proportionnel",MAX(0,($A71*Calculateur!$B$56+$A71*I$65*Calculateur!$B$57)-Hypotheses!$B$97)/Hypotheses!$B$99,ROUNDUP(MAX(0,($A71*Calculateur!$B$56+$A71*I$65*Calculateur!$B$57)-Hypotheses!$B$97)/Hypotheses!$B$99,0))*Hypotheses!$B$101)*12)-Hypotheses!$A$58)*Hypotheses!$B$59)*(1+Hypotheses!$B$60)*(1-Hypotheses!$B$61)/12))*Hypotheses!$B$65</f>
        <v/>
      </c>
    </row>
    <row r="72">
      <c r="A72" s="36" t="n">
        <v>40</v>
      </c>
      <c r="B72" s="21">
        <f>(($A72*B$65*Calculateur!$B$54-Calculateur!$B$58-IF(Hypotheses!$B$100="proportionnel",MAX(0,($A72*Calculateur!$B$56+$A72*B$65*Calculateur!$B$57)-Hypotheses!$B$97)/Hypotheses!$B$99,ROUNDUP(MAX(0,($A72*Calculateur!$B$56+$A72*B$65*Calculateur!$B$57)-Hypotheses!$B$97)/Hypotheses!$B$99,0))*Hypotheses!$B$101)-(MIN(MAX(0,($A72*B$65*Calculateur!$B$54-Calculateur!$B$58-IF(Hypotheses!$B$100="proportionnel",MAX(0,($A72*Calculateur!$B$56+$A72*B$65*Calculateur!$B$57)-Hypotheses!$B$97)/Hypotheses!$B$99,ROUNDUP(MAX(0,($A72*Calculateur!$B$56+$A72*B$65*Calculateur!$B$57)-Hypotheses!$B$97)/Hypotheses!$B$99,0))*Hypotheses!$B$101)*12),Hypotheses!$A$56)*Hypotheses!$B$56+MAX(0,MIN(MAX(0,($A72*B$65*Calculateur!$B$54-Calculateur!$B$58-IF(Hypotheses!$B$100="proportionnel",MAX(0,($A72*Calculateur!$B$56+$A72*B$65*Calculateur!$B$57)-Hypotheses!$B$97)/Hypotheses!$B$99,ROUNDUP(MAX(0,($A72*Calculateur!$B$56+$A72*B$65*Calculateur!$B$57)-Hypotheses!$B$97)/Hypotheses!$B$99,0))*Hypotheses!$B$101)*12),Hypotheses!$A$57)-Hypotheses!$A$56)*Hypotheses!$B$57+MAX(0,MIN(MAX(0,($A72*B$65*Calculateur!$B$54-Calculateur!$B$58-IF(Hypotheses!$B$100="proportionnel",MAX(0,($A72*Calculateur!$B$56+$A72*B$65*Calculateur!$B$57)-Hypotheses!$B$97)/Hypotheses!$B$99,ROUNDUP(MAX(0,($A72*Calculateur!$B$56+$A72*B$65*Calculateur!$B$57)-Hypotheses!$B$97)/Hypotheses!$B$99,0))*Hypotheses!$B$101)*12),Hypotheses!$A$58)-Hypotheses!$A$57)*Hypotheses!$B$58+MAX(0,MAX(0,($A72*B$65*Calculateur!$B$54-Calculateur!$B$58-IF(Hypotheses!$B$100="proportionnel",MAX(0,($A72*Calculateur!$B$56+$A72*B$65*Calculateur!$B$57)-Hypotheses!$B$97)/Hypotheses!$B$99,ROUNDUP(MAX(0,($A72*Calculateur!$B$56+$A72*B$65*Calculateur!$B$57)-Hypotheses!$B$97)/Hypotheses!$B$99,0))*Hypotheses!$B$101)*12)-Hypotheses!$A$58)*Hypotheses!$B$59)*(1+Hypotheses!$B$60)*(1-Hypotheses!$B$61)/12)-MAX(0,(($A72*B$65*Calculateur!$B$54-Calculateur!$B$58-IF(Hypotheses!$B$100="proportionnel",MAX(0,($A72*Calculateur!$B$56+$A72*B$65*Calculateur!$B$57)-Hypotheses!$B$97)/Hypotheses!$B$99,ROUNDUP(MAX(0,($A72*Calculateur!$B$56+$A72*B$65*Calculateur!$B$57)-Hypotheses!$B$97)/Hypotheses!$B$99,0))*Hypotheses!$B$101)-(MIN(MAX(0,($A72*B$65*Calculateur!$B$54-Calculateur!$B$58-IF(Hypotheses!$B$100="proportionnel",MAX(0,($A72*Calculateur!$B$56+$A72*B$65*Calculateur!$B$57)-Hypotheses!$B$97)/Hypotheses!$B$99,ROUNDUP(MAX(0,($A72*Calculateur!$B$56+$A72*B$65*Calculateur!$B$57)-Hypotheses!$B$97)/Hypotheses!$B$99,0))*Hypotheses!$B$101)*12),Hypotheses!$A$56)*Hypotheses!$B$56+MAX(0,MIN(MAX(0,($A72*B$65*Calculateur!$B$54-Calculateur!$B$58-IF(Hypotheses!$B$100="proportionnel",MAX(0,($A72*Calculateur!$B$56+$A72*B$65*Calculateur!$B$57)-Hypotheses!$B$97)/Hypotheses!$B$99,ROUNDUP(MAX(0,($A72*Calculateur!$B$56+$A72*B$65*Calculateur!$B$57)-Hypotheses!$B$97)/Hypotheses!$B$99,0))*Hypotheses!$B$101)*12),Hypotheses!$A$57)-Hypotheses!$A$56)*Hypotheses!$B$57+MAX(0,MIN(MAX(0,($A72*B$65*Calculateur!$B$54-Calculateur!$B$58-IF(Hypotheses!$B$100="proportionnel",MAX(0,($A72*Calculateur!$B$56+$A72*B$65*Calculateur!$B$57)-Hypotheses!$B$97)/Hypotheses!$B$99,ROUNDUP(MAX(0,($A72*Calculateur!$B$56+$A72*B$65*Calculateur!$B$57)-Hypotheses!$B$97)/Hypotheses!$B$99,0))*Hypotheses!$B$101)*12),Hypotheses!$A$58)-Hypotheses!$A$57)*Hypotheses!$B$58+MAX(0,MAX(0,($A72*B$65*Calculateur!$B$54-Calculateur!$B$58-IF(Hypotheses!$B$100="proportionnel",MAX(0,($A72*Calculateur!$B$56+$A72*B$65*Calculateur!$B$57)-Hypotheses!$B$97)/Hypotheses!$B$99,ROUNDUP(MAX(0,($A72*Calculateur!$B$56+$A72*B$65*Calculateur!$B$57)-Hypotheses!$B$97)/Hypotheses!$B$99,0))*Hypotheses!$B$101)*12)-Hypotheses!$A$58)*Hypotheses!$B$59)*(1+Hypotheses!$B$60)*(1-Hypotheses!$B$61)/12))*Hypotheses!$B$65</f>
        <v/>
      </c>
      <c r="C72" s="21">
        <f>(($A72*C$65*Calculateur!$B$54-Calculateur!$B$58-IF(Hypotheses!$B$100="proportionnel",MAX(0,($A72*Calculateur!$B$56+$A72*C$65*Calculateur!$B$57)-Hypotheses!$B$97)/Hypotheses!$B$99,ROUNDUP(MAX(0,($A72*Calculateur!$B$56+$A72*C$65*Calculateur!$B$57)-Hypotheses!$B$97)/Hypotheses!$B$99,0))*Hypotheses!$B$101)-(MIN(MAX(0,($A72*C$65*Calculateur!$B$54-Calculateur!$B$58-IF(Hypotheses!$B$100="proportionnel",MAX(0,($A72*Calculateur!$B$56+$A72*C$65*Calculateur!$B$57)-Hypotheses!$B$97)/Hypotheses!$B$99,ROUNDUP(MAX(0,($A72*Calculateur!$B$56+$A72*C$65*Calculateur!$B$57)-Hypotheses!$B$97)/Hypotheses!$B$99,0))*Hypotheses!$B$101)*12),Hypotheses!$A$56)*Hypotheses!$B$56+MAX(0,MIN(MAX(0,($A72*C$65*Calculateur!$B$54-Calculateur!$B$58-IF(Hypotheses!$B$100="proportionnel",MAX(0,($A72*Calculateur!$B$56+$A72*C$65*Calculateur!$B$57)-Hypotheses!$B$97)/Hypotheses!$B$99,ROUNDUP(MAX(0,($A72*Calculateur!$B$56+$A72*C$65*Calculateur!$B$57)-Hypotheses!$B$97)/Hypotheses!$B$99,0))*Hypotheses!$B$101)*12),Hypotheses!$A$57)-Hypotheses!$A$56)*Hypotheses!$B$57+MAX(0,MIN(MAX(0,($A72*C$65*Calculateur!$B$54-Calculateur!$B$58-IF(Hypotheses!$B$100="proportionnel",MAX(0,($A72*Calculateur!$B$56+$A72*C$65*Calculateur!$B$57)-Hypotheses!$B$97)/Hypotheses!$B$99,ROUNDUP(MAX(0,($A72*Calculateur!$B$56+$A72*C$65*Calculateur!$B$57)-Hypotheses!$B$97)/Hypotheses!$B$99,0))*Hypotheses!$B$101)*12),Hypotheses!$A$58)-Hypotheses!$A$57)*Hypotheses!$B$58+MAX(0,MAX(0,($A72*C$65*Calculateur!$B$54-Calculateur!$B$58-IF(Hypotheses!$B$100="proportionnel",MAX(0,($A72*Calculateur!$B$56+$A72*C$65*Calculateur!$B$57)-Hypotheses!$B$97)/Hypotheses!$B$99,ROUNDUP(MAX(0,($A72*Calculateur!$B$56+$A72*C$65*Calculateur!$B$57)-Hypotheses!$B$97)/Hypotheses!$B$99,0))*Hypotheses!$B$101)*12)-Hypotheses!$A$58)*Hypotheses!$B$59)*(1+Hypotheses!$B$60)*(1-Hypotheses!$B$61)/12)-MAX(0,(($A72*C$65*Calculateur!$B$54-Calculateur!$B$58-IF(Hypotheses!$B$100="proportionnel",MAX(0,($A72*Calculateur!$B$56+$A72*C$65*Calculateur!$B$57)-Hypotheses!$B$97)/Hypotheses!$B$99,ROUNDUP(MAX(0,($A72*Calculateur!$B$56+$A72*C$65*Calculateur!$B$57)-Hypotheses!$B$97)/Hypotheses!$B$99,0))*Hypotheses!$B$101)-(MIN(MAX(0,($A72*C$65*Calculateur!$B$54-Calculateur!$B$58-IF(Hypotheses!$B$100="proportionnel",MAX(0,($A72*Calculateur!$B$56+$A72*C$65*Calculateur!$B$57)-Hypotheses!$B$97)/Hypotheses!$B$99,ROUNDUP(MAX(0,($A72*Calculateur!$B$56+$A72*C$65*Calculateur!$B$57)-Hypotheses!$B$97)/Hypotheses!$B$99,0))*Hypotheses!$B$101)*12),Hypotheses!$A$56)*Hypotheses!$B$56+MAX(0,MIN(MAX(0,($A72*C$65*Calculateur!$B$54-Calculateur!$B$58-IF(Hypotheses!$B$100="proportionnel",MAX(0,($A72*Calculateur!$B$56+$A72*C$65*Calculateur!$B$57)-Hypotheses!$B$97)/Hypotheses!$B$99,ROUNDUP(MAX(0,($A72*Calculateur!$B$56+$A72*C$65*Calculateur!$B$57)-Hypotheses!$B$97)/Hypotheses!$B$99,0))*Hypotheses!$B$101)*12),Hypotheses!$A$57)-Hypotheses!$A$56)*Hypotheses!$B$57+MAX(0,MIN(MAX(0,($A72*C$65*Calculateur!$B$54-Calculateur!$B$58-IF(Hypotheses!$B$100="proportionnel",MAX(0,($A72*Calculateur!$B$56+$A72*C$65*Calculateur!$B$57)-Hypotheses!$B$97)/Hypotheses!$B$99,ROUNDUP(MAX(0,($A72*Calculateur!$B$56+$A72*C$65*Calculateur!$B$57)-Hypotheses!$B$97)/Hypotheses!$B$99,0))*Hypotheses!$B$101)*12),Hypotheses!$A$58)-Hypotheses!$A$57)*Hypotheses!$B$58+MAX(0,MAX(0,($A72*C$65*Calculateur!$B$54-Calculateur!$B$58-IF(Hypotheses!$B$100="proportionnel",MAX(0,($A72*Calculateur!$B$56+$A72*C$65*Calculateur!$B$57)-Hypotheses!$B$97)/Hypotheses!$B$99,ROUNDUP(MAX(0,($A72*Calculateur!$B$56+$A72*C$65*Calculateur!$B$57)-Hypotheses!$B$97)/Hypotheses!$B$99,0))*Hypotheses!$B$101)*12)-Hypotheses!$A$58)*Hypotheses!$B$59)*(1+Hypotheses!$B$60)*(1-Hypotheses!$B$61)/12))*Hypotheses!$B$65</f>
        <v/>
      </c>
      <c r="D72" s="21">
        <f>(($A72*D$65*Calculateur!$B$54-Calculateur!$B$58-IF(Hypotheses!$B$100="proportionnel",MAX(0,($A72*Calculateur!$B$56+$A72*D$65*Calculateur!$B$57)-Hypotheses!$B$97)/Hypotheses!$B$99,ROUNDUP(MAX(0,($A72*Calculateur!$B$56+$A72*D$65*Calculateur!$B$57)-Hypotheses!$B$97)/Hypotheses!$B$99,0))*Hypotheses!$B$101)-(MIN(MAX(0,($A72*D$65*Calculateur!$B$54-Calculateur!$B$58-IF(Hypotheses!$B$100="proportionnel",MAX(0,($A72*Calculateur!$B$56+$A72*D$65*Calculateur!$B$57)-Hypotheses!$B$97)/Hypotheses!$B$99,ROUNDUP(MAX(0,($A72*Calculateur!$B$56+$A72*D$65*Calculateur!$B$57)-Hypotheses!$B$97)/Hypotheses!$B$99,0))*Hypotheses!$B$101)*12),Hypotheses!$A$56)*Hypotheses!$B$56+MAX(0,MIN(MAX(0,($A72*D$65*Calculateur!$B$54-Calculateur!$B$58-IF(Hypotheses!$B$100="proportionnel",MAX(0,($A72*Calculateur!$B$56+$A72*D$65*Calculateur!$B$57)-Hypotheses!$B$97)/Hypotheses!$B$99,ROUNDUP(MAX(0,($A72*Calculateur!$B$56+$A72*D$65*Calculateur!$B$57)-Hypotheses!$B$97)/Hypotheses!$B$99,0))*Hypotheses!$B$101)*12),Hypotheses!$A$57)-Hypotheses!$A$56)*Hypotheses!$B$57+MAX(0,MIN(MAX(0,($A72*D$65*Calculateur!$B$54-Calculateur!$B$58-IF(Hypotheses!$B$100="proportionnel",MAX(0,($A72*Calculateur!$B$56+$A72*D$65*Calculateur!$B$57)-Hypotheses!$B$97)/Hypotheses!$B$99,ROUNDUP(MAX(0,($A72*Calculateur!$B$56+$A72*D$65*Calculateur!$B$57)-Hypotheses!$B$97)/Hypotheses!$B$99,0))*Hypotheses!$B$101)*12),Hypotheses!$A$58)-Hypotheses!$A$57)*Hypotheses!$B$58+MAX(0,MAX(0,($A72*D$65*Calculateur!$B$54-Calculateur!$B$58-IF(Hypotheses!$B$100="proportionnel",MAX(0,($A72*Calculateur!$B$56+$A72*D$65*Calculateur!$B$57)-Hypotheses!$B$97)/Hypotheses!$B$99,ROUNDUP(MAX(0,($A72*Calculateur!$B$56+$A72*D$65*Calculateur!$B$57)-Hypotheses!$B$97)/Hypotheses!$B$99,0))*Hypotheses!$B$101)*12)-Hypotheses!$A$58)*Hypotheses!$B$59)*(1+Hypotheses!$B$60)*(1-Hypotheses!$B$61)/12)-MAX(0,(($A72*D$65*Calculateur!$B$54-Calculateur!$B$58-IF(Hypotheses!$B$100="proportionnel",MAX(0,($A72*Calculateur!$B$56+$A72*D$65*Calculateur!$B$57)-Hypotheses!$B$97)/Hypotheses!$B$99,ROUNDUP(MAX(0,($A72*Calculateur!$B$56+$A72*D$65*Calculateur!$B$57)-Hypotheses!$B$97)/Hypotheses!$B$99,0))*Hypotheses!$B$101)-(MIN(MAX(0,($A72*D$65*Calculateur!$B$54-Calculateur!$B$58-IF(Hypotheses!$B$100="proportionnel",MAX(0,($A72*Calculateur!$B$56+$A72*D$65*Calculateur!$B$57)-Hypotheses!$B$97)/Hypotheses!$B$99,ROUNDUP(MAX(0,($A72*Calculateur!$B$56+$A72*D$65*Calculateur!$B$57)-Hypotheses!$B$97)/Hypotheses!$B$99,0))*Hypotheses!$B$101)*12),Hypotheses!$A$56)*Hypotheses!$B$56+MAX(0,MIN(MAX(0,($A72*D$65*Calculateur!$B$54-Calculateur!$B$58-IF(Hypotheses!$B$100="proportionnel",MAX(0,($A72*Calculateur!$B$56+$A72*D$65*Calculateur!$B$57)-Hypotheses!$B$97)/Hypotheses!$B$99,ROUNDUP(MAX(0,($A72*Calculateur!$B$56+$A72*D$65*Calculateur!$B$57)-Hypotheses!$B$97)/Hypotheses!$B$99,0))*Hypotheses!$B$101)*12),Hypotheses!$A$57)-Hypotheses!$A$56)*Hypotheses!$B$57+MAX(0,MIN(MAX(0,($A72*D$65*Calculateur!$B$54-Calculateur!$B$58-IF(Hypotheses!$B$100="proportionnel",MAX(0,($A72*Calculateur!$B$56+$A72*D$65*Calculateur!$B$57)-Hypotheses!$B$97)/Hypotheses!$B$99,ROUNDUP(MAX(0,($A72*Calculateur!$B$56+$A72*D$65*Calculateur!$B$57)-Hypotheses!$B$97)/Hypotheses!$B$99,0))*Hypotheses!$B$101)*12),Hypotheses!$A$58)-Hypotheses!$A$57)*Hypotheses!$B$58+MAX(0,MAX(0,($A72*D$65*Calculateur!$B$54-Calculateur!$B$58-IF(Hypotheses!$B$100="proportionnel",MAX(0,($A72*Calculateur!$B$56+$A72*D$65*Calculateur!$B$57)-Hypotheses!$B$97)/Hypotheses!$B$99,ROUNDUP(MAX(0,($A72*Calculateur!$B$56+$A72*D$65*Calculateur!$B$57)-Hypotheses!$B$97)/Hypotheses!$B$99,0))*Hypotheses!$B$101)*12)-Hypotheses!$A$58)*Hypotheses!$B$59)*(1+Hypotheses!$B$60)*(1-Hypotheses!$B$61)/12))*Hypotheses!$B$65</f>
        <v/>
      </c>
      <c r="E72" s="21">
        <f>(($A72*E$65*Calculateur!$B$54-Calculateur!$B$58-IF(Hypotheses!$B$100="proportionnel",MAX(0,($A72*Calculateur!$B$56+$A72*E$65*Calculateur!$B$57)-Hypotheses!$B$97)/Hypotheses!$B$99,ROUNDUP(MAX(0,($A72*Calculateur!$B$56+$A72*E$65*Calculateur!$B$57)-Hypotheses!$B$97)/Hypotheses!$B$99,0))*Hypotheses!$B$101)-(MIN(MAX(0,($A72*E$65*Calculateur!$B$54-Calculateur!$B$58-IF(Hypotheses!$B$100="proportionnel",MAX(0,($A72*Calculateur!$B$56+$A72*E$65*Calculateur!$B$57)-Hypotheses!$B$97)/Hypotheses!$B$99,ROUNDUP(MAX(0,($A72*Calculateur!$B$56+$A72*E$65*Calculateur!$B$57)-Hypotheses!$B$97)/Hypotheses!$B$99,0))*Hypotheses!$B$101)*12),Hypotheses!$A$56)*Hypotheses!$B$56+MAX(0,MIN(MAX(0,($A72*E$65*Calculateur!$B$54-Calculateur!$B$58-IF(Hypotheses!$B$100="proportionnel",MAX(0,($A72*Calculateur!$B$56+$A72*E$65*Calculateur!$B$57)-Hypotheses!$B$97)/Hypotheses!$B$99,ROUNDUP(MAX(0,($A72*Calculateur!$B$56+$A72*E$65*Calculateur!$B$57)-Hypotheses!$B$97)/Hypotheses!$B$99,0))*Hypotheses!$B$101)*12),Hypotheses!$A$57)-Hypotheses!$A$56)*Hypotheses!$B$57+MAX(0,MIN(MAX(0,($A72*E$65*Calculateur!$B$54-Calculateur!$B$58-IF(Hypotheses!$B$100="proportionnel",MAX(0,($A72*Calculateur!$B$56+$A72*E$65*Calculateur!$B$57)-Hypotheses!$B$97)/Hypotheses!$B$99,ROUNDUP(MAX(0,($A72*Calculateur!$B$56+$A72*E$65*Calculateur!$B$57)-Hypotheses!$B$97)/Hypotheses!$B$99,0))*Hypotheses!$B$101)*12),Hypotheses!$A$58)-Hypotheses!$A$57)*Hypotheses!$B$58+MAX(0,MAX(0,($A72*E$65*Calculateur!$B$54-Calculateur!$B$58-IF(Hypotheses!$B$100="proportionnel",MAX(0,($A72*Calculateur!$B$56+$A72*E$65*Calculateur!$B$57)-Hypotheses!$B$97)/Hypotheses!$B$99,ROUNDUP(MAX(0,($A72*Calculateur!$B$56+$A72*E$65*Calculateur!$B$57)-Hypotheses!$B$97)/Hypotheses!$B$99,0))*Hypotheses!$B$101)*12)-Hypotheses!$A$58)*Hypotheses!$B$59)*(1+Hypotheses!$B$60)*(1-Hypotheses!$B$61)/12)-MAX(0,(($A72*E$65*Calculateur!$B$54-Calculateur!$B$58-IF(Hypotheses!$B$100="proportionnel",MAX(0,($A72*Calculateur!$B$56+$A72*E$65*Calculateur!$B$57)-Hypotheses!$B$97)/Hypotheses!$B$99,ROUNDUP(MAX(0,($A72*Calculateur!$B$56+$A72*E$65*Calculateur!$B$57)-Hypotheses!$B$97)/Hypotheses!$B$99,0))*Hypotheses!$B$101)-(MIN(MAX(0,($A72*E$65*Calculateur!$B$54-Calculateur!$B$58-IF(Hypotheses!$B$100="proportionnel",MAX(0,($A72*Calculateur!$B$56+$A72*E$65*Calculateur!$B$57)-Hypotheses!$B$97)/Hypotheses!$B$99,ROUNDUP(MAX(0,($A72*Calculateur!$B$56+$A72*E$65*Calculateur!$B$57)-Hypotheses!$B$97)/Hypotheses!$B$99,0))*Hypotheses!$B$101)*12),Hypotheses!$A$56)*Hypotheses!$B$56+MAX(0,MIN(MAX(0,($A72*E$65*Calculateur!$B$54-Calculateur!$B$58-IF(Hypotheses!$B$100="proportionnel",MAX(0,($A72*Calculateur!$B$56+$A72*E$65*Calculateur!$B$57)-Hypotheses!$B$97)/Hypotheses!$B$99,ROUNDUP(MAX(0,($A72*Calculateur!$B$56+$A72*E$65*Calculateur!$B$57)-Hypotheses!$B$97)/Hypotheses!$B$99,0))*Hypotheses!$B$101)*12),Hypotheses!$A$57)-Hypotheses!$A$56)*Hypotheses!$B$57+MAX(0,MIN(MAX(0,($A72*E$65*Calculateur!$B$54-Calculateur!$B$58-IF(Hypotheses!$B$100="proportionnel",MAX(0,($A72*Calculateur!$B$56+$A72*E$65*Calculateur!$B$57)-Hypotheses!$B$97)/Hypotheses!$B$99,ROUNDUP(MAX(0,($A72*Calculateur!$B$56+$A72*E$65*Calculateur!$B$57)-Hypotheses!$B$97)/Hypotheses!$B$99,0))*Hypotheses!$B$101)*12),Hypotheses!$A$58)-Hypotheses!$A$57)*Hypotheses!$B$58+MAX(0,MAX(0,($A72*E$65*Calculateur!$B$54-Calculateur!$B$58-IF(Hypotheses!$B$100="proportionnel",MAX(0,($A72*Calculateur!$B$56+$A72*E$65*Calculateur!$B$57)-Hypotheses!$B$97)/Hypotheses!$B$99,ROUNDUP(MAX(0,($A72*Calculateur!$B$56+$A72*E$65*Calculateur!$B$57)-Hypotheses!$B$97)/Hypotheses!$B$99,0))*Hypotheses!$B$101)*12)-Hypotheses!$A$58)*Hypotheses!$B$59)*(1+Hypotheses!$B$60)*(1-Hypotheses!$B$61)/12))*Hypotheses!$B$65</f>
        <v/>
      </c>
      <c r="F72" s="21">
        <f>(($A72*F$65*Calculateur!$B$54-Calculateur!$B$58-IF(Hypotheses!$B$100="proportionnel",MAX(0,($A72*Calculateur!$B$56+$A72*F$65*Calculateur!$B$57)-Hypotheses!$B$97)/Hypotheses!$B$99,ROUNDUP(MAX(0,($A72*Calculateur!$B$56+$A72*F$65*Calculateur!$B$57)-Hypotheses!$B$97)/Hypotheses!$B$99,0))*Hypotheses!$B$101)-(MIN(MAX(0,($A72*F$65*Calculateur!$B$54-Calculateur!$B$58-IF(Hypotheses!$B$100="proportionnel",MAX(0,($A72*Calculateur!$B$56+$A72*F$65*Calculateur!$B$57)-Hypotheses!$B$97)/Hypotheses!$B$99,ROUNDUP(MAX(0,($A72*Calculateur!$B$56+$A72*F$65*Calculateur!$B$57)-Hypotheses!$B$97)/Hypotheses!$B$99,0))*Hypotheses!$B$101)*12),Hypotheses!$A$56)*Hypotheses!$B$56+MAX(0,MIN(MAX(0,($A72*F$65*Calculateur!$B$54-Calculateur!$B$58-IF(Hypotheses!$B$100="proportionnel",MAX(0,($A72*Calculateur!$B$56+$A72*F$65*Calculateur!$B$57)-Hypotheses!$B$97)/Hypotheses!$B$99,ROUNDUP(MAX(0,($A72*Calculateur!$B$56+$A72*F$65*Calculateur!$B$57)-Hypotheses!$B$97)/Hypotheses!$B$99,0))*Hypotheses!$B$101)*12),Hypotheses!$A$57)-Hypotheses!$A$56)*Hypotheses!$B$57+MAX(0,MIN(MAX(0,($A72*F$65*Calculateur!$B$54-Calculateur!$B$58-IF(Hypotheses!$B$100="proportionnel",MAX(0,($A72*Calculateur!$B$56+$A72*F$65*Calculateur!$B$57)-Hypotheses!$B$97)/Hypotheses!$B$99,ROUNDUP(MAX(0,($A72*Calculateur!$B$56+$A72*F$65*Calculateur!$B$57)-Hypotheses!$B$97)/Hypotheses!$B$99,0))*Hypotheses!$B$101)*12),Hypotheses!$A$58)-Hypotheses!$A$57)*Hypotheses!$B$58+MAX(0,MAX(0,($A72*F$65*Calculateur!$B$54-Calculateur!$B$58-IF(Hypotheses!$B$100="proportionnel",MAX(0,($A72*Calculateur!$B$56+$A72*F$65*Calculateur!$B$57)-Hypotheses!$B$97)/Hypotheses!$B$99,ROUNDUP(MAX(0,($A72*Calculateur!$B$56+$A72*F$65*Calculateur!$B$57)-Hypotheses!$B$97)/Hypotheses!$B$99,0))*Hypotheses!$B$101)*12)-Hypotheses!$A$58)*Hypotheses!$B$59)*(1+Hypotheses!$B$60)*(1-Hypotheses!$B$61)/12)-MAX(0,(($A72*F$65*Calculateur!$B$54-Calculateur!$B$58-IF(Hypotheses!$B$100="proportionnel",MAX(0,($A72*Calculateur!$B$56+$A72*F$65*Calculateur!$B$57)-Hypotheses!$B$97)/Hypotheses!$B$99,ROUNDUP(MAX(0,($A72*Calculateur!$B$56+$A72*F$65*Calculateur!$B$57)-Hypotheses!$B$97)/Hypotheses!$B$99,0))*Hypotheses!$B$101)-(MIN(MAX(0,($A72*F$65*Calculateur!$B$54-Calculateur!$B$58-IF(Hypotheses!$B$100="proportionnel",MAX(0,($A72*Calculateur!$B$56+$A72*F$65*Calculateur!$B$57)-Hypotheses!$B$97)/Hypotheses!$B$99,ROUNDUP(MAX(0,($A72*Calculateur!$B$56+$A72*F$65*Calculateur!$B$57)-Hypotheses!$B$97)/Hypotheses!$B$99,0))*Hypotheses!$B$101)*12),Hypotheses!$A$56)*Hypotheses!$B$56+MAX(0,MIN(MAX(0,($A72*F$65*Calculateur!$B$54-Calculateur!$B$58-IF(Hypotheses!$B$100="proportionnel",MAX(0,($A72*Calculateur!$B$56+$A72*F$65*Calculateur!$B$57)-Hypotheses!$B$97)/Hypotheses!$B$99,ROUNDUP(MAX(0,($A72*Calculateur!$B$56+$A72*F$65*Calculateur!$B$57)-Hypotheses!$B$97)/Hypotheses!$B$99,0))*Hypotheses!$B$101)*12),Hypotheses!$A$57)-Hypotheses!$A$56)*Hypotheses!$B$57+MAX(0,MIN(MAX(0,($A72*F$65*Calculateur!$B$54-Calculateur!$B$58-IF(Hypotheses!$B$100="proportionnel",MAX(0,($A72*Calculateur!$B$56+$A72*F$65*Calculateur!$B$57)-Hypotheses!$B$97)/Hypotheses!$B$99,ROUNDUP(MAX(0,($A72*Calculateur!$B$56+$A72*F$65*Calculateur!$B$57)-Hypotheses!$B$97)/Hypotheses!$B$99,0))*Hypotheses!$B$101)*12),Hypotheses!$A$58)-Hypotheses!$A$57)*Hypotheses!$B$58+MAX(0,MAX(0,($A72*F$65*Calculateur!$B$54-Calculateur!$B$58-IF(Hypotheses!$B$100="proportionnel",MAX(0,($A72*Calculateur!$B$56+$A72*F$65*Calculateur!$B$57)-Hypotheses!$B$97)/Hypotheses!$B$99,ROUNDUP(MAX(0,($A72*Calculateur!$B$56+$A72*F$65*Calculateur!$B$57)-Hypotheses!$B$97)/Hypotheses!$B$99,0))*Hypotheses!$B$101)*12)-Hypotheses!$A$58)*Hypotheses!$B$59)*(1+Hypotheses!$B$60)*(1-Hypotheses!$B$61)/12))*Hypotheses!$B$65</f>
        <v/>
      </c>
      <c r="G72" s="21">
        <f>(($A72*G$65*Calculateur!$B$54-Calculateur!$B$58-IF(Hypotheses!$B$100="proportionnel",MAX(0,($A72*Calculateur!$B$56+$A72*G$65*Calculateur!$B$57)-Hypotheses!$B$97)/Hypotheses!$B$99,ROUNDUP(MAX(0,($A72*Calculateur!$B$56+$A72*G$65*Calculateur!$B$57)-Hypotheses!$B$97)/Hypotheses!$B$99,0))*Hypotheses!$B$101)-(MIN(MAX(0,($A72*G$65*Calculateur!$B$54-Calculateur!$B$58-IF(Hypotheses!$B$100="proportionnel",MAX(0,($A72*Calculateur!$B$56+$A72*G$65*Calculateur!$B$57)-Hypotheses!$B$97)/Hypotheses!$B$99,ROUNDUP(MAX(0,($A72*Calculateur!$B$56+$A72*G$65*Calculateur!$B$57)-Hypotheses!$B$97)/Hypotheses!$B$99,0))*Hypotheses!$B$101)*12),Hypotheses!$A$56)*Hypotheses!$B$56+MAX(0,MIN(MAX(0,($A72*G$65*Calculateur!$B$54-Calculateur!$B$58-IF(Hypotheses!$B$100="proportionnel",MAX(0,($A72*Calculateur!$B$56+$A72*G$65*Calculateur!$B$57)-Hypotheses!$B$97)/Hypotheses!$B$99,ROUNDUP(MAX(0,($A72*Calculateur!$B$56+$A72*G$65*Calculateur!$B$57)-Hypotheses!$B$97)/Hypotheses!$B$99,0))*Hypotheses!$B$101)*12),Hypotheses!$A$57)-Hypotheses!$A$56)*Hypotheses!$B$57+MAX(0,MIN(MAX(0,($A72*G$65*Calculateur!$B$54-Calculateur!$B$58-IF(Hypotheses!$B$100="proportionnel",MAX(0,($A72*Calculateur!$B$56+$A72*G$65*Calculateur!$B$57)-Hypotheses!$B$97)/Hypotheses!$B$99,ROUNDUP(MAX(0,($A72*Calculateur!$B$56+$A72*G$65*Calculateur!$B$57)-Hypotheses!$B$97)/Hypotheses!$B$99,0))*Hypotheses!$B$101)*12),Hypotheses!$A$58)-Hypotheses!$A$57)*Hypotheses!$B$58+MAX(0,MAX(0,($A72*G$65*Calculateur!$B$54-Calculateur!$B$58-IF(Hypotheses!$B$100="proportionnel",MAX(0,($A72*Calculateur!$B$56+$A72*G$65*Calculateur!$B$57)-Hypotheses!$B$97)/Hypotheses!$B$99,ROUNDUP(MAX(0,($A72*Calculateur!$B$56+$A72*G$65*Calculateur!$B$57)-Hypotheses!$B$97)/Hypotheses!$B$99,0))*Hypotheses!$B$101)*12)-Hypotheses!$A$58)*Hypotheses!$B$59)*(1+Hypotheses!$B$60)*(1-Hypotheses!$B$61)/12)-MAX(0,(($A72*G$65*Calculateur!$B$54-Calculateur!$B$58-IF(Hypotheses!$B$100="proportionnel",MAX(0,($A72*Calculateur!$B$56+$A72*G$65*Calculateur!$B$57)-Hypotheses!$B$97)/Hypotheses!$B$99,ROUNDUP(MAX(0,($A72*Calculateur!$B$56+$A72*G$65*Calculateur!$B$57)-Hypotheses!$B$97)/Hypotheses!$B$99,0))*Hypotheses!$B$101)-(MIN(MAX(0,($A72*G$65*Calculateur!$B$54-Calculateur!$B$58-IF(Hypotheses!$B$100="proportionnel",MAX(0,($A72*Calculateur!$B$56+$A72*G$65*Calculateur!$B$57)-Hypotheses!$B$97)/Hypotheses!$B$99,ROUNDUP(MAX(0,($A72*Calculateur!$B$56+$A72*G$65*Calculateur!$B$57)-Hypotheses!$B$97)/Hypotheses!$B$99,0))*Hypotheses!$B$101)*12),Hypotheses!$A$56)*Hypotheses!$B$56+MAX(0,MIN(MAX(0,($A72*G$65*Calculateur!$B$54-Calculateur!$B$58-IF(Hypotheses!$B$100="proportionnel",MAX(0,($A72*Calculateur!$B$56+$A72*G$65*Calculateur!$B$57)-Hypotheses!$B$97)/Hypotheses!$B$99,ROUNDUP(MAX(0,($A72*Calculateur!$B$56+$A72*G$65*Calculateur!$B$57)-Hypotheses!$B$97)/Hypotheses!$B$99,0))*Hypotheses!$B$101)*12),Hypotheses!$A$57)-Hypotheses!$A$56)*Hypotheses!$B$57+MAX(0,MIN(MAX(0,($A72*G$65*Calculateur!$B$54-Calculateur!$B$58-IF(Hypotheses!$B$100="proportionnel",MAX(0,($A72*Calculateur!$B$56+$A72*G$65*Calculateur!$B$57)-Hypotheses!$B$97)/Hypotheses!$B$99,ROUNDUP(MAX(0,($A72*Calculateur!$B$56+$A72*G$65*Calculateur!$B$57)-Hypotheses!$B$97)/Hypotheses!$B$99,0))*Hypotheses!$B$101)*12),Hypotheses!$A$58)-Hypotheses!$A$57)*Hypotheses!$B$58+MAX(0,MAX(0,($A72*G$65*Calculateur!$B$54-Calculateur!$B$58-IF(Hypotheses!$B$100="proportionnel",MAX(0,($A72*Calculateur!$B$56+$A72*G$65*Calculateur!$B$57)-Hypotheses!$B$97)/Hypotheses!$B$99,ROUNDUP(MAX(0,($A72*Calculateur!$B$56+$A72*G$65*Calculateur!$B$57)-Hypotheses!$B$97)/Hypotheses!$B$99,0))*Hypotheses!$B$101)*12)-Hypotheses!$A$58)*Hypotheses!$B$59)*(1+Hypotheses!$B$60)*(1-Hypotheses!$B$61)/12))*Hypotheses!$B$65</f>
        <v/>
      </c>
      <c r="H72" s="21">
        <f>(($A72*H$65*Calculateur!$B$54-Calculateur!$B$58-IF(Hypotheses!$B$100="proportionnel",MAX(0,($A72*Calculateur!$B$56+$A72*H$65*Calculateur!$B$57)-Hypotheses!$B$97)/Hypotheses!$B$99,ROUNDUP(MAX(0,($A72*Calculateur!$B$56+$A72*H$65*Calculateur!$B$57)-Hypotheses!$B$97)/Hypotheses!$B$99,0))*Hypotheses!$B$101)-(MIN(MAX(0,($A72*H$65*Calculateur!$B$54-Calculateur!$B$58-IF(Hypotheses!$B$100="proportionnel",MAX(0,($A72*Calculateur!$B$56+$A72*H$65*Calculateur!$B$57)-Hypotheses!$B$97)/Hypotheses!$B$99,ROUNDUP(MAX(0,($A72*Calculateur!$B$56+$A72*H$65*Calculateur!$B$57)-Hypotheses!$B$97)/Hypotheses!$B$99,0))*Hypotheses!$B$101)*12),Hypotheses!$A$56)*Hypotheses!$B$56+MAX(0,MIN(MAX(0,($A72*H$65*Calculateur!$B$54-Calculateur!$B$58-IF(Hypotheses!$B$100="proportionnel",MAX(0,($A72*Calculateur!$B$56+$A72*H$65*Calculateur!$B$57)-Hypotheses!$B$97)/Hypotheses!$B$99,ROUNDUP(MAX(0,($A72*Calculateur!$B$56+$A72*H$65*Calculateur!$B$57)-Hypotheses!$B$97)/Hypotheses!$B$99,0))*Hypotheses!$B$101)*12),Hypotheses!$A$57)-Hypotheses!$A$56)*Hypotheses!$B$57+MAX(0,MIN(MAX(0,($A72*H$65*Calculateur!$B$54-Calculateur!$B$58-IF(Hypotheses!$B$100="proportionnel",MAX(0,($A72*Calculateur!$B$56+$A72*H$65*Calculateur!$B$57)-Hypotheses!$B$97)/Hypotheses!$B$99,ROUNDUP(MAX(0,($A72*Calculateur!$B$56+$A72*H$65*Calculateur!$B$57)-Hypotheses!$B$97)/Hypotheses!$B$99,0))*Hypotheses!$B$101)*12),Hypotheses!$A$58)-Hypotheses!$A$57)*Hypotheses!$B$58+MAX(0,MAX(0,($A72*H$65*Calculateur!$B$54-Calculateur!$B$58-IF(Hypotheses!$B$100="proportionnel",MAX(0,($A72*Calculateur!$B$56+$A72*H$65*Calculateur!$B$57)-Hypotheses!$B$97)/Hypotheses!$B$99,ROUNDUP(MAX(0,($A72*Calculateur!$B$56+$A72*H$65*Calculateur!$B$57)-Hypotheses!$B$97)/Hypotheses!$B$99,0))*Hypotheses!$B$101)*12)-Hypotheses!$A$58)*Hypotheses!$B$59)*(1+Hypotheses!$B$60)*(1-Hypotheses!$B$61)/12)-MAX(0,(($A72*H$65*Calculateur!$B$54-Calculateur!$B$58-IF(Hypotheses!$B$100="proportionnel",MAX(0,($A72*Calculateur!$B$56+$A72*H$65*Calculateur!$B$57)-Hypotheses!$B$97)/Hypotheses!$B$99,ROUNDUP(MAX(0,($A72*Calculateur!$B$56+$A72*H$65*Calculateur!$B$57)-Hypotheses!$B$97)/Hypotheses!$B$99,0))*Hypotheses!$B$101)-(MIN(MAX(0,($A72*H$65*Calculateur!$B$54-Calculateur!$B$58-IF(Hypotheses!$B$100="proportionnel",MAX(0,($A72*Calculateur!$B$56+$A72*H$65*Calculateur!$B$57)-Hypotheses!$B$97)/Hypotheses!$B$99,ROUNDUP(MAX(0,($A72*Calculateur!$B$56+$A72*H$65*Calculateur!$B$57)-Hypotheses!$B$97)/Hypotheses!$B$99,0))*Hypotheses!$B$101)*12),Hypotheses!$A$56)*Hypotheses!$B$56+MAX(0,MIN(MAX(0,($A72*H$65*Calculateur!$B$54-Calculateur!$B$58-IF(Hypotheses!$B$100="proportionnel",MAX(0,($A72*Calculateur!$B$56+$A72*H$65*Calculateur!$B$57)-Hypotheses!$B$97)/Hypotheses!$B$99,ROUNDUP(MAX(0,($A72*Calculateur!$B$56+$A72*H$65*Calculateur!$B$57)-Hypotheses!$B$97)/Hypotheses!$B$99,0))*Hypotheses!$B$101)*12),Hypotheses!$A$57)-Hypotheses!$A$56)*Hypotheses!$B$57+MAX(0,MIN(MAX(0,($A72*H$65*Calculateur!$B$54-Calculateur!$B$58-IF(Hypotheses!$B$100="proportionnel",MAX(0,($A72*Calculateur!$B$56+$A72*H$65*Calculateur!$B$57)-Hypotheses!$B$97)/Hypotheses!$B$99,ROUNDUP(MAX(0,($A72*Calculateur!$B$56+$A72*H$65*Calculateur!$B$57)-Hypotheses!$B$97)/Hypotheses!$B$99,0))*Hypotheses!$B$101)*12),Hypotheses!$A$58)-Hypotheses!$A$57)*Hypotheses!$B$58+MAX(0,MAX(0,($A72*H$65*Calculateur!$B$54-Calculateur!$B$58-IF(Hypotheses!$B$100="proportionnel",MAX(0,($A72*Calculateur!$B$56+$A72*H$65*Calculateur!$B$57)-Hypotheses!$B$97)/Hypotheses!$B$99,ROUNDUP(MAX(0,($A72*Calculateur!$B$56+$A72*H$65*Calculateur!$B$57)-Hypotheses!$B$97)/Hypotheses!$B$99,0))*Hypotheses!$B$101)*12)-Hypotheses!$A$58)*Hypotheses!$B$59)*(1+Hypotheses!$B$60)*(1-Hypotheses!$B$61)/12))*Hypotheses!$B$65</f>
        <v/>
      </c>
      <c r="I72" s="21">
        <f>(($A72*I$65*Calculateur!$B$54-Calculateur!$B$58-IF(Hypotheses!$B$100="proportionnel",MAX(0,($A72*Calculateur!$B$56+$A72*I$65*Calculateur!$B$57)-Hypotheses!$B$97)/Hypotheses!$B$99,ROUNDUP(MAX(0,($A72*Calculateur!$B$56+$A72*I$65*Calculateur!$B$57)-Hypotheses!$B$97)/Hypotheses!$B$99,0))*Hypotheses!$B$101)-(MIN(MAX(0,($A72*I$65*Calculateur!$B$54-Calculateur!$B$58-IF(Hypotheses!$B$100="proportionnel",MAX(0,($A72*Calculateur!$B$56+$A72*I$65*Calculateur!$B$57)-Hypotheses!$B$97)/Hypotheses!$B$99,ROUNDUP(MAX(0,($A72*Calculateur!$B$56+$A72*I$65*Calculateur!$B$57)-Hypotheses!$B$97)/Hypotheses!$B$99,0))*Hypotheses!$B$101)*12),Hypotheses!$A$56)*Hypotheses!$B$56+MAX(0,MIN(MAX(0,($A72*I$65*Calculateur!$B$54-Calculateur!$B$58-IF(Hypotheses!$B$100="proportionnel",MAX(0,($A72*Calculateur!$B$56+$A72*I$65*Calculateur!$B$57)-Hypotheses!$B$97)/Hypotheses!$B$99,ROUNDUP(MAX(0,($A72*Calculateur!$B$56+$A72*I$65*Calculateur!$B$57)-Hypotheses!$B$97)/Hypotheses!$B$99,0))*Hypotheses!$B$101)*12),Hypotheses!$A$57)-Hypotheses!$A$56)*Hypotheses!$B$57+MAX(0,MIN(MAX(0,($A72*I$65*Calculateur!$B$54-Calculateur!$B$58-IF(Hypotheses!$B$100="proportionnel",MAX(0,($A72*Calculateur!$B$56+$A72*I$65*Calculateur!$B$57)-Hypotheses!$B$97)/Hypotheses!$B$99,ROUNDUP(MAX(0,($A72*Calculateur!$B$56+$A72*I$65*Calculateur!$B$57)-Hypotheses!$B$97)/Hypotheses!$B$99,0))*Hypotheses!$B$101)*12),Hypotheses!$A$58)-Hypotheses!$A$57)*Hypotheses!$B$58+MAX(0,MAX(0,($A72*I$65*Calculateur!$B$54-Calculateur!$B$58-IF(Hypotheses!$B$100="proportionnel",MAX(0,($A72*Calculateur!$B$56+$A72*I$65*Calculateur!$B$57)-Hypotheses!$B$97)/Hypotheses!$B$99,ROUNDUP(MAX(0,($A72*Calculateur!$B$56+$A72*I$65*Calculateur!$B$57)-Hypotheses!$B$97)/Hypotheses!$B$99,0))*Hypotheses!$B$101)*12)-Hypotheses!$A$58)*Hypotheses!$B$59)*(1+Hypotheses!$B$60)*(1-Hypotheses!$B$61)/12)-MAX(0,(($A72*I$65*Calculateur!$B$54-Calculateur!$B$58-IF(Hypotheses!$B$100="proportionnel",MAX(0,($A72*Calculateur!$B$56+$A72*I$65*Calculateur!$B$57)-Hypotheses!$B$97)/Hypotheses!$B$99,ROUNDUP(MAX(0,($A72*Calculateur!$B$56+$A72*I$65*Calculateur!$B$57)-Hypotheses!$B$97)/Hypotheses!$B$99,0))*Hypotheses!$B$101)-(MIN(MAX(0,($A72*I$65*Calculateur!$B$54-Calculateur!$B$58-IF(Hypotheses!$B$100="proportionnel",MAX(0,($A72*Calculateur!$B$56+$A72*I$65*Calculateur!$B$57)-Hypotheses!$B$97)/Hypotheses!$B$99,ROUNDUP(MAX(0,($A72*Calculateur!$B$56+$A72*I$65*Calculateur!$B$57)-Hypotheses!$B$97)/Hypotheses!$B$99,0))*Hypotheses!$B$101)*12),Hypotheses!$A$56)*Hypotheses!$B$56+MAX(0,MIN(MAX(0,($A72*I$65*Calculateur!$B$54-Calculateur!$B$58-IF(Hypotheses!$B$100="proportionnel",MAX(0,($A72*Calculateur!$B$56+$A72*I$65*Calculateur!$B$57)-Hypotheses!$B$97)/Hypotheses!$B$99,ROUNDUP(MAX(0,($A72*Calculateur!$B$56+$A72*I$65*Calculateur!$B$57)-Hypotheses!$B$97)/Hypotheses!$B$99,0))*Hypotheses!$B$101)*12),Hypotheses!$A$57)-Hypotheses!$A$56)*Hypotheses!$B$57+MAX(0,MIN(MAX(0,($A72*I$65*Calculateur!$B$54-Calculateur!$B$58-IF(Hypotheses!$B$100="proportionnel",MAX(0,($A72*Calculateur!$B$56+$A72*I$65*Calculateur!$B$57)-Hypotheses!$B$97)/Hypotheses!$B$99,ROUNDUP(MAX(0,($A72*Calculateur!$B$56+$A72*I$65*Calculateur!$B$57)-Hypotheses!$B$97)/Hypotheses!$B$99,0))*Hypotheses!$B$101)*12),Hypotheses!$A$58)-Hypotheses!$A$57)*Hypotheses!$B$58+MAX(0,MAX(0,($A72*I$65*Calculateur!$B$54-Calculateur!$B$58-IF(Hypotheses!$B$100="proportionnel",MAX(0,($A72*Calculateur!$B$56+$A72*I$65*Calculateur!$B$57)-Hypotheses!$B$97)/Hypotheses!$B$99,ROUNDUP(MAX(0,($A72*Calculateur!$B$56+$A72*I$65*Calculateur!$B$57)-Hypotheses!$B$97)/Hypotheses!$B$99,0))*Hypotheses!$B$101)*12)-Hypotheses!$A$58)*Hypotheses!$B$59)*(1+Hypotheses!$B$60)*(1-Hypotheses!$B$61)/12))*Hypotheses!$B$65</f>
        <v/>
      </c>
    </row>
    <row r="73">
      <c r="A73" s="36" t="n">
        <v>50</v>
      </c>
      <c r="B73" s="21">
        <f>(($A73*B$65*Calculateur!$B$54-Calculateur!$B$58-IF(Hypotheses!$B$100="proportionnel",MAX(0,($A73*Calculateur!$B$56+$A73*B$65*Calculateur!$B$57)-Hypotheses!$B$97)/Hypotheses!$B$99,ROUNDUP(MAX(0,($A73*Calculateur!$B$56+$A73*B$65*Calculateur!$B$57)-Hypotheses!$B$97)/Hypotheses!$B$99,0))*Hypotheses!$B$101)-(MIN(MAX(0,($A73*B$65*Calculateur!$B$54-Calculateur!$B$58-IF(Hypotheses!$B$100="proportionnel",MAX(0,($A73*Calculateur!$B$56+$A73*B$65*Calculateur!$B$57)-Hypotheses!$B$97)/Hypotheses!$B$99,ROUNDUP(MAX(0,($A73*Calculateur!$B$56+$A73*B$65*Calculateur!$B$57)-Hypotheses!$B$97)/Hypotheses!$B$99,0))*Hypotheses!$B$101)*12),Hypotheses!$A$56)*Hypotheses!$B$56+MAX(0,MIN(MAX(0,($A73*B$65*Calculateur!$B$54-Calculateur!$B$58-IF(Hypotheses!$B$100="proportionnel",MAX(0,($A73*Calculateur!$B$56+$A73*B$65*Calculateur!$B$57)-Hypotheses!$B$97)/Hypotheses!$B$99,ROUNDUP(MAX(0,($A73*Calculateur!$B$56+$A73*B$65*Calculateur!$B$57)-Hypotheses!$B$97)/Hypotheses!$B$99,0))*Hypotheses!$B$101)*12),Hypotheses!$A$57)-Hypotheses!$A$56)*Hypotheses!$B$57+MAX(0,MIN(MAX(0,($A73*B$65*Calculateur!$B$54-Calculateur!$B$58-IF(Hypotheses!$B$100="proportionnel",MAX(0,($A73*Calculateur!$B$56+$A73*B$65*Calculateur!$B$57)-Hypotheses!$B$97)/Hypotheses!$B$99,ROUNDUP(MAX(0,($A73*Calculateur!$B$56+$A73*B$65*Calculateur!$B$57)-Hypotheses!$B$97)/Hypotheses!$B$99,0))*Hypotheses!$B$101)*12),Hypotheses!$A$58)-Hypotheses!$A$57)*Hypotheses!$B$58+MAX(0,MAX(0,($A73*B$65*Calculateur!$B$54-Calculateur!$B$58-IF(Hypotheses!$B$100="proportionnel",MAX(0,($A73*Calculateur!$B$56+$A73*B$65*Calculateur!$B$57)-Hypotheses!$B$97)/Hypotheses!$B$99,ROUNDUP(MAX(0,($A73*Calculateur!$B$56+$A73*B$65*Calculateur!$B$57)-Hypotheses!$B$97)/Hypotheses!$B$99,0))*Hypotheses!$B$101)*12)-Hypotheses!$A$58)*Hypotheses!$B$59)*(1+Hypotheses!$B$60)*(1-Hypotheses!$B$61)/12)-MAX(0,(($A73*B$65*Calculateur!$B$54-Calculateur!$B$58-IF(Hypotheses!$B$100="proportionnel",MAX(0,($A73*Calculateur!$B$56+$A73*B$65*Calculateur!$B$57)-Hypotheses!$B$97)/Hypotheses!$B$99,ROUNDUP(MAX(0,($A73*Calculateur!$B$56+$A73*B$65*Calculateur!$B$57)-Hypotheses!$B$97)/Hypotheses!$B$99,0))*Hypotheses!$B$101)-(MIN(MAX(0,($A73*B$65*Calculateur!$B$54-Calculateur!$B$58-IF(Hypotheses!$B$100="proportionnel",MAX(0,($A73*Calculateur!$B$56+$A73*B$65*Calculateur!$B$57)-Hypotheses!$B$97)/Hypotheses!$B$99,ROUNDUP(MAX(0,($A73*Calculateur!$B$56+$A73*B$65*Calculateur!$B$57)-Hypotheses!$B$97)/Hypotheses!$B$99,0))*Hypotheses!$B$101)*12),Hypotheses!$A$56)*Hypotheses!$B$56+MAX(0,MIN(MAX(0,($A73*B$65*Calculateur!$B$54-Calculateur!$B$58-IF(Hypotheses!$B$100="proportionnel",MAX(0,($A73*Calculateur!$B$56+$A73*B$65*Calculateur!$B$57)-Hypotheses!$B$97)/Hypotheses!$B$99,ROUNDUP(MAX(0,($A73*Calculateur!$B$56+$A73*B$65*Calculateur!$B$57)-Hypotheses!$B$97)/Hypotheses!$B$99,0))*Hypotheses!$B$101)*12),Hypotheses!$A$57)-Hypotheses!$A$56)*Hypotheses!$B$57+MAX(0,MIN(MAX(0,($A73*B$65*Calculateur!$B$54-Calculateur!$B$58-IF(Hypotheses!$B$100="proportionnel",MAX(0,($A73*Calculateur!$B$56+$A73*B$65*Calculateur!$B$57)-Hypotheses!$B$97)/Hypotheses!$B$99,ROUNDUP(MAX(0,($A73*Calculateur!$B$56+$A73*B$65*Calculateur!$B$57)-Hypotheses!$B$97)/Hypotheses!$B$99,0))*Hypotheses!$B$101)*12),Hypotheses!$A$58)-Hypotheses!$A$57)*Hypotheses!$B$58+MAX(0,MAX(0,($A73*B$65*Calculateur!$B$54-Calculateur!$B$58-IF(Hypotheses!$B$100="proportionnel",MAX(0,($A73*Calculateur!$B$56+$A73*B$65*Calculateur!$B$57)-Hypotheses!$B$97)/Hypotheses!$B$99,ROUNDUP(MAX(0,($A73*Calculateur!$B$56+$A73*B$65*Calculateur!$B$57)-Hypotheses!$B$97)/Hypotheses!$B$99,0))*Hypotheses!$B$101)*12)-Hypotheses!$A$58)*Hypotheses!$B$59)*(1+Hypotheses!$B$60)*(1-Hypotheses!$B$61)/12))*Hypotheses!$B$65</f>
        <v/>
      </c>
      <c r="C73" s="21">
        <f>(($A73*C$65*Calculateur!$B$54-Calculateur!$B$58-IF(Hypotheses!$B$100="proportionnel",MAX(0,($A73*Calculateur!$B$56+$A73*C$65*Calculateur!$B$57)-Hypotheses!$B$97)/Hypotheses!$B$99,ROUNDUP(MAX(0,($A73*Calculateur!$B$56+$A73*C$65*Calculateur!$B$57)-Hypotheses!$B$97)/Hypotheses!$B$99,0))*Hypotheses!$B$101)-(MIN(MAX(0,($A73*C$65*Calculateur!$B$54-Calculateur!$B$58-IF(Hypotheses!$B$100="proportionnel",MAX(0,($A73*Calculateur!$B$56+$A73*C$65*Calculateur!$B$57)-Hypotheses!$B$97)/Hypotheses!$B$99,ROUNDUP(MAX(0,($A73*Calculateur!$B$56+$A73*C$65*Calculateur!$B$57)-Hypotheses!$B$97)/Hypotheses!$B$99,0))*Hypotheses!$B$101)*12),Hypotheses!$A$56)*Hypotheses!$B$56+MAX(0,MIN(MAX(0,($A73*C$65*Calculateur!$B$54-Calculateur!$B$58-IF(Hypotheses!$B$100="proportionnel",MAX(0,($A73*Calculateur!$B$56+$A73*C$65*Calculateur!$B$57)-Hypotheses!$B$97)/Hypotheses!$B$99,ROUNDUP(MAX(0,($A73*Calculateur!$B$56+$A73*C$65*Calculateur!$B$57)-Hypotheses!$B$97)/Hypotheses!$B$99,0))*Hypotheses!$B$101)*12),Hypotheses!$A$57)-Hypotheses!$A$56)*Hypotheses!$B$57+MAX(0,MIN(MAX(0,($A73*C$65*Calculateur!$B$54-Calculateur!$B$58-IF(Hypotheses!$B$100="proportionnel",MAX(0,($A73*Calculateur!$B$56+$A73*C$65*Calculateur!$B$57)-Hypotheses!$B$97)/Hypotheses!$B$99,ROUNDUP(MAX(0,($A73*Calculateur!$B$56+$A73*C$65*Calculateur!$B$57)-Hypotheses!$B$97)/Hypotheses!$B$99,0))*Hypotheses!$B$101)*12),Hypotheses!$A$58)-Hypotheses!$A$57)*Hypotheses!$B$58+MAX(0,MAX(0,($A73*C$65*Calculateur!$B$54-Calculateur!$B$58-IF(Hypotheses!$B$100="proportionnel",MAX(0,($A73*Calculateur!$B$56+$A73*C$65*Calculateur!$B$57)-Hypotheses!$B$97)/Hypotheses!$B$99,ROUNDUP(MAX(0,($A73*Calculateur!$B$56+$A73*C$65*Calculateur!$B$57)-Hypotheses!$B$97)/Hypotheses!$B$99,0))*Hypotheses!$B$101)*12)-Hypotheses!$A$58)*Hypotheses!$B$59)*(1+Hypotheses!$B$60)*(1-Hypotheses!$B$61)/12)-MAX(0,(($A73*C$65*Calculateur!$B$54-Calculateur!$B$58-IF(Hypotheses!$B$100="proportionnel",MAX(0,($A73*Calculateur!$B$56+$A73*C$65*Calculateur!$B$57)-Hypotheses!$B$97)/Hypotheses!$B$99,ROUNDUP(MAX(0,($A73*Calculateur!$B$56+$A73*C$65*Calculateur!$B$57)-Hypotheses!$B$97)/Hypotheses!$B$99,0))*Hypotheses!$B$101)-(MIN(MAX(0,($A73*C$65*Calculateur!$B$54-Calculateur!$B$58-IF(Hypotheses!$B$100="proportionnel",MAX(0,($A73*Calculateur!$B$56+$A73*C$65*Calculateur!$B$57)-Hypotheses!$B$97)/Hypotheses!$B$99,ROUNDUP(MAX(0,($A73*Calculateur!$B$56+$A73*C$65*Calculateur!$B$57)-Hypotheses!$B$97)/Hypotheses!$B$99,0))*Hypotheses!$B$101)*12),Hypotheses!$A$56)*Hypotheses!$B$56+MAX(0,MIN(MAX(0,($A73*C$65*Calculateur!$B$54-Calculateur!$B$58-IF(Hypotheses!$B$100="proportionnel",MAX(0,($A73*Calculateur!$B$56+$A73*C$65*Calculateur!$B$57)-Hypotheses!$B$97)/Hypotheses!$B$99,ROUNDUP(MAX(0,($A73*Calculateur!$B$56+$A73*C$65*Calculateur!$B$57)-Hypotheses!$B$97)/Hypotheses!$B$99,0))*Hypotheses!$B$101)*12),Hypotheses!$A$57)-Hypotheses!$A$56)*Hypotheses!$B$57+MAX(0,MIN(MAX(0,($A73*C$65*Calculateur!$B$54-Calculateur!$B$58-IF(Hypotheses!$B$100="proportionnel",MAX(0,($A73*Calculateur!$B$56+$A73*C$65*Calculateur!$B$57)-Hypotheses!$B$97)/Hypotheses!$B$99,ROUNDUP(MAX(0,($A73*Calculateur!$B$56+$A73*C$65*Calculateur!$B$57)-Hypotheses!$B$97)/Hypotheses!$B$99,0))*Hypotheses!$B$101)*12),Hypotheses!$A$58)-Hypotheses!$A$57)*Hypotheses!$B$58+MAX(0,MAX(0,($A73*C$65*Calculateur!$B$54-Calculateur!$B$58-IF(Hypotheses!$B$100="proportionnel",MAX(0,($A73*Calculateur!$B$56+$A73*C$65*Calculateur!$B$57)-Hypotheses!$B$97)/Hypotheses!$B$99,ROUNDUP(MAX(0,($A73*Calculateur!$B$56+$A73*C$65*Calculateur!$B$57)-Hypotheses!$B$97)/Hypotheses!$B$99,0))*Hypotheses!$B$101)*12)-Hypotheses!$A$58)*Hypotheses!$B$59)*(1+Hypotheses!$B$60)*(1-Hypotheses!$B$61)/12))*Hypotheses!$B$65</f>
        <v/>
      </c>
      <c r="D73" s="21">
        <f>(($A73*D$65*Calculateur!$B$54-Calculateur!$B$58-IF(Hypotheses!$B$100="proportionnel",MAX(0,($A73*Calculateur!$B$56+$A73*D$65*Calculateur!$B$57)-Hypotheses!$B$97)/Hypotheses!$B$99,ROUNDUP(MAX(0,($A73*Calculateur!$B$56+$A73*D$65*Calculateur!$B$57)-Hypotheses!$B$97)/Hypotheses!$B$99,0))*Hypotheses!$B$101)-(MIN(MAX(0,($A73*D$65*Calculateur!$B$54-Calculateur!$B$58-IF(Hypotheses!$B$100="proportionnel",MAX(0,($A73*Calculateur!$B$56+$A73*D$65*Calculateur!$B$57)-Hypotheses!$B$97)/Hypotheses!$B$99,ROUNDUP(MAX(0,($A73*Calculateur!$B$56+$A73*D$65*Calculateur!$B$57)-Hypotheses!$B$97)/Hypotheses!$B$99,0))*Hypotheses!$B$101)*12),Hypotheses!$A$56)*Hypotheses!$B$56+MAX(0,MIN(MAX(0,($A73*D$65*Calculateur!$B$54-Calculateur!$B$58-IF(Hypotheses!$B$100="proportionnel",MAX(0,($A73*Calculateur!$B$56+$A73*D$65*Calculateur!$B$57)-Hypotheses!$B$97)/Hypotheses!$B$99,ROUNDUP(MAX(0,($A73*Calculateur!$B$56+$A73*D$65*Calculateur!$B$57)-Hypotheses!$B$97)/Hypotheses!$B$99,0))*Hypotheses!$B$101)*12),Hypotheses!$A$57)-Hypotheses!$A$56)*Hypotheses!$B$57+MAX(0,MIN(MAX(0,($A73*D$65*Calculateur!$B$54-Calculateur!$B$58-IF(Hypotheses!$B$100="proportionnel",MAX(0,($A73*Calculateur!$B$56+$A73*D$65*Calculateur!$B$57)-Hypotheses!$B$97)/Hypotheses!$B$99,ROUNDUP(MAX(0,($A73*Calculateur!$B$56+$A73*D$65*Calculateur!$B$57)-Hypotheses!$B$97)/Hypotheses!$B$99,0))*Hypotheses!$B$101)*12),Hypotheses!$A$58)-Hypotheses!$A$57)*Hypotheses!$B$58+MAX(0,MAX(0,($A73*D$65*Calculateur!$B$54-Calculateur!$B$58-IF(Hypotheses!$B$100="proportionnel",MAX(0,($A73*Calculateur!$B$56+$A73*D$65*Calculateur!$B$57)-Hypotheses!$B$97)/Hypotheses!$B$99,ROUNDUP(MAX(0,($A73*Calculateur!$B$56+$A73*D$65*Calculateur!$B$57)-Hypotheses!$B$97)/Hypotheses!$B$99,0))*Hypotheses!$B$101)*12)-Hypotheses!$A$58)*Hypotheses!$B$59)*(1+Hypotheses!$B$60)*(1-Hypotheses!$B$61)/12)-MAX(0,(($A73*D$65*Calculateur!$B$54-Calculateur!$B$58-IF(Hypotheses!$B$100="proportionnel",MAX(0,($A73*Calculateur!$B$56+$A73*D$65*Calculateur!$B$57)-Hypotheses!$B$97)/Hypotheses!$B$99,ROUNDUP(MAX(0,($A73*Calculateur!$B$56+$A73*D$65*Calculateur!$B$57)-Hypotheses!$B$97)/Hypotheses!$B$99,0))*Hypotheses!$B$101)-(MIN(MAX(0,($A73*D$65*Calculateur!$B$54-Calculateur!$B$58-IF(Hypotheses!$B$100="proportionnel",MAX(0,($A73*Calculateur!$B$56+$A73*D$65*Calculateur!$B$57)-Hypotheses!$B$97)/Hypotheses!$B$99,ROUNDUP(MAX(0,($A73*Calculateur!$B$56+$A73*D$65*Calculateur!$B$57)-Hypotheses!$B$97)/Hypotheses!$B$99,0))*Hypotheses!$B$101)*12),Hypotheses!$A$56)*Hypotheses!$B$56+MAX(0,MIN(MAX(0,($A73*D$65*Calculateur!$B$54-Calculateur!$B$58-IF(Hypotheses!$B$100="proportionnel",MAX(0,($A73*Calculateur!$B$56+$A73*D$65*Calculateur!$B$57)-Hypotheses!$B$97)/Hypotheses!$B$99,ROUNDUP(MAX(0,($A73*Calculateur!$B$56+$A73*D$65*Calculateur!$B$57)-Hypotheses!$B$97)/Hypotheses!$B$99,0))*Hypotheses!$B$101)*12),Hypotheses!$A$57)-Hypotheses!$A$56)*Hypotheses!$B$57+MAX(0,MIN(MAX(0,($A73*D$65*Calculateur!$B$54-Calculateur!$B$58-IF(Hypotheses!$B$100="proportionnel",MAX(0,($A73*Calculateur!$B$56+$A73*D$65*Calculateur!$B$57)-Hypotheses!$B$97)/Hypotheses!$B$99,ROUNDUP(MAX(0,($A73*Calculateur!$B$56+$A73*D$65*Calculateur!$B$57)-Hypotheses!$B$97)/Hypotheses!$B$99,0))*Hypotheses!$B$101)*12),Hypotheses!$A$58)-Hypotheses!$A$57)*Hypotheses!$B$58+MAX(0,MAX(0,($A73*D$65*Calculateur!$B$54-Calculateur!$B$58-IF(Hypotheses!$B$100="proportionnel",MAX(0,($A73*Calculateur!$B$56+$A73*D$65*Calculateur!$B$57)-Hypotheses!$B$97)/Hypotheses!$B$99,ROUNDUP(MAX(0,($A73*Calculateur!$B$56+$A73*D$65*Calculateur!$B$57)-Hypotheses!$B$97)/Hypotheses!$B$99,0))*Hypotheses!$B$101)*12)-Hypotheses!$A$58)*Hypotheses!$B$59)*(1+Hypotheses!$B$60)*(1-Hypotheses!$B$61)/12))*Hypotheses!$B$65</f>
        <v/>
      </c>
      <c r="E73" s="21">
        <f>(($A73*E$65*Calculateur!$B$54-Calculateur!$B$58-IF(Hypotheses!$B$100="proportionnel",MAX(0,($A73*Calculateur!$B$56+$A73*E$65*Calculateur!$B$57)-Hypotheses!$B$97)/Hypotheses!$B$99,ROUNDUP(MAX(0,($A73*Calculateur!$B$56+$A73*E$65*Calculateur!$B$57)-Hypotheses!$B$97)/Hypotheses!$B$99,0))*Hypotheses!$B$101)-(MIN(MAX(0,($A73*E$65*Calculateur!$B$54-Calculateur!$B$58-IF(Hypotheses!$B$100="proportionnel",MAX(0,($A73*Calculateur!$B$56+$A73*E$65*Calculateur!$B$57)-Hypotheses!$B$97)/Hypotheses!$B$99,ROUNDUP(MAX(0,($A73*Calculateur!$B$56+$A73*E$65*Calculateur!$B$57)-Hypotheses!$B$97)/Hypotheses!$B$99,0))*Hypotheses!$B$101)*12),Hypotheses!$A$56)*Hypotheses!$B$56+MAX(0,MIN(MAX(0,($A73*E$65*Calculateur!$B$54-Calculateur!$B$58-IF(Hypotheses!$B$100="proportionnel",MAX(0,($A73*Calculateur!$B$56+$A73*E$65*Calculateur!$B$57)-Hypotheses!$B$97)/Hypotheses!$B$99,ROUNDUP(MAX(0,($A73*Calculateur!$B$56+$A73*E$65*Calculateur!$B$57)-Hypotheses!$B$97)/Hypotheses!$B$99,0))*Hypotheses!$B$101)*12),Hypotheses!$A$57)-Hypotheses!$A$56)*Hypotheses!$B$57+MAX(0,MIN(MAX(0,($A73*E$65*Calculateur!$B$54-Calculateur!$B$58-IF(Hypotheses!$B$100="proportionnel",MAX(0,($A73*Calculateur!$B$56+$A73*E$65*Calculateur!$B$57)-Hypotheses!$B$97)/Hypotheses!$B$99,ROUNDUP(MAX(0,($A73*Calculateur!$B$56+$A73*E$65*Calculateur!$B$57)-Hypotheses!$B$97)/Hypotheses!$B$99,0))*Hypotheses!$B$101)*12),Hypotheses!$A$58)-Hypotheses!$A$57)*Hypotheses!$B$58+MAX(0,MAX(0,($A73*E$65*Calculateur!$B$54-Calculateur!$B$58-IF(Hypotheses!$B$100="proportionnel",MAX(0,($A73*Calculateur!$B$56+$A73*E$65*Calculateur!$B$57)-Hypotheses!$B$97)/Hypotheses!$B$99,ROUNDUP(MAX(0,($A73*Calculateur!$B$56+$A73*E$65*Calculateur!$B$57)-Hypotheses!$B$97)/Hypotheses!$B$99,0))*Hypotheses!$B$101)*12)-Hypotheses!$A$58)*Hypotheses!$B$59)*(1+Hypotheses!$B$60)*(1-Hypotheses!$B$61)/12)-MAX(0,(($A73*E$65*Calculateur!$B$54-Calculateur!$B$58-IF(Hypotheses!$B$100="proportionnel",MAX(0,($A73*Calculateur!$B$56+$A73*E$65*Calculateur!$B$57)-Hypotheses!$B$97)/Hypotheses!$B$99,ROUNDUP(MAX(0,($A73*Calculateur!$B$56+$A73*E$65*Calculateur!$B$57)-Hypotheses!$B$97)/Hypotheses!$B$99,0))*Hypotheses!$B$101)-(MIN(MAX(0,($A73*E$65*Calculateur!$B$54-Calculateur!$B$58-IF(Hypotheses!$B$100="proportionnel",MAX(0,($A73*Calculateur!$B$56+$A73*E$65*Calculateur!$B$57)-Hypotheses!$B$97)/Hypotheses!$B$99,ROUNDUP(MAX(0,($A73*Calculateur!$B$56+$A73*E$65*Calculateur!$B$57)-Hypotheses!$B$97)/Hypotheses!$B$99,0))*Hypotheses!$B$101)*12),Hypotheses!$A$56)*Hypotheses!$B$56+MAX(0,MIN(MAX(0,($A73*E$65*Calculateur!$B$54-Calculateur!$B$58-IF(Hypotheses!$B$100="proportionnel",MAX(0,($A73*Calculateur!$B$56+$A73*E$65*Calculateur!$B$57)-Hypotheses!$B$97)/Hypotheses!$B$99,ROUNDUP(MAX(0,($A73*Calculateur!$B$56+$A73*E$65*Calculateur!$B$57)-Hypotheses!$B$97)/Hypotheses!$B$99,0))*Hypotheses!$B$101)*12),Hypotheses!$A$57)-Hypotheses!$A$56)*Hypotheses!$B$57+MAX(0,MIN(MAX(0,($A73*E$65*Calculateur!$B$54-Calculateur!$B$58-IF(Hypotheses!$B$100="proportionnel",MAX(0,($A73*Calculateur!$B$56+$A73*E$65*Calculateur!$B$57)-Hypotheses!$B$97)/Hypotheses!$B$99,ROUNDUP(MAX(0,($A73*Calculateur!$B$56+$A73*E$65*Calculateur!$B$57)-Hypotheses!$B$97)/Hypotheses!$B$99,0))*Hypotheses!$B$101)*12),Hypotheses!$A$58)-Hypotheses!$A$57)*Hypotheses!$B$58+MAX(0,MAX(0,($A73*E$65*Calculateur!$B$54-Calculateur!$B$58-IF(Hypotheses!$B$100="proportionnel",MAX(0,($A73*Calculateur!$B$56+$A73*E$65*Calculateur!$B$57)-Hypotheses!$B$97)/Hypotheses!$B$99,ROUNDUP(MAX(0,($A73*Calculateur!$B$56+$A73*E$65*Calculateur!$B$57)-Hypotheses!$B$97)/Hypotheses!$B$99,0))*Hypotheses!$B$101)*12)-Hypotheses!$A$58)*Hypotheses!$B$59)*(1+Hypotheses!$B$60)*(1-Hypotheses!$B$61)/12))*Hypotheses!$B$65</f>
        <v/>
      </c>
      <c r="F73" s="21">
        <f>(($A73*F$65*Calculateur!$B$54-Calculateur!$B$58-IF(Hypotheses!$B$100="proportionnel",MAX(0,($A73*Calculateur!$B$56+$A73*F$65*Calculateur!$B$57)-Hypotheses!$B$97)/Hypotheses!$B$99,ROUNDUP(MAX(0,($A73*Calculateur!$B$56+$A73*F$65*Calculateur!$B$57)-Hypotheses!$B$97)/Hypotheses!$B$99,0))*Hypotheses!$B$101)-(MIN(MAX(0,($A73*F$65*Calculateur!$B$54-Calculateur!$B$58-IF(Hypotheses!$B$100="proportionnel",MAX(0,($A73*Calculateur!$B$56+$A73*F$65*Calculateur!$B$57)-Hypotheses!$B$97)/Hypotheses!$B$99,ROUNDUP(MAX(0,($A73*Calculateur!$B$56+$A73*F$65*Calculateur!$B$57)-Hypotheses!$B$97)/Hypotheses!$B$99,0))*Hypotheses!$B$101)*12),Hypotheses!$A$56)*Hypotheses!$B$56+MAX(0,MIN(MAX(0,($A73*F$65*Calculateur!$B$54-Calculateur!$B$58-IF(Hypotheses!$B$100="proportionnel",MAX(0,($A73*Calculateur!$B$56+$A73*F$65*Calculateur!$B$57)-Hypotheses!$B$97)/Hypotheses!$B$99,ROUNDUP(MAX(0,($A73*Calculateur!$B$56+$A73*F$65*Calculateur!$B$57)-Hypotheses!$B$97)/Hypotheses!$B$99,0))*Hypotheses!$B$101)*12),Hypotheses!$A$57)-Hypotheses!$A$56)*Hypotheses!$B$57+MAX(0,MIN(MAX(0,($A73*F$65*Calculateur!$B$54-Calculateur!$B$58-IF(Hypotheses!$B$100="proportionnel",MAX(0,($A73*Calculateur!$B$56+$A73*F$65*Calculateur!$B$57)-Hypotheses!$B$97)/Hypotheses!$B$99,ROUNDUP(MAX(0,($A73*Calculateur!$B$56+$A73*F$65*Calculateur!$B$57)-Hypotheses!$B$97)/Hypotheses!$B$99,0))*Hypotheses!$B$101)*12),Hypotheses!$A$58)-Hypotheses!$A$57)*Hypotheses!$B$58+MAX(0,MAX(0,($A73*F$65*Calculateur!$B$54-Calculateur!$B$58-IF(Hypotheses!$B$100="proportionnel",MAX(0,($A73*Calculateur!$B$56+$A73*F$65*Calculateur!$B$57)-Hypotheses!$B$97)/Hypotheses!$B$99,ROUNDUP(MAX(0,($A73*Calculateur!$B$56+$A73*F$65*Calculateur!$B$57)-Hypotheses!$B$97)/Hypotheses!$B$99,0))*Hypotheses!$B$101)*12)-Hypotheses!$A$58)*Hypotheses!$B$59)*(1+Hypotheses!$B$60)*(1-Hypotheses!$B$61)/12)-MAX(0,(($A73*F$65*Calculateur!$B$54-Calculateur!$B$58-IF(Hypotheses!$B$100="proportionnel",MAX(0,($A73*Calculateur!$B$56+$A73*F$65*Calculateur!$B$57)-Hypotheses!$B$97)/Hypotheses!$B$99,ROUNDUP(MAX(0,($A73*Calculateur!$B$56+$A73*F$65*Calculateur!$B$57)-Hypotheses!$B$97)/Hypotheses!$B$99,0))*Hypotheses!$B$101)-(MIN(MAX(0,($A73*F$65*Calculateur!$B$54-Calculateur!$B$58-IF(Hypotheses!$B$100="proportionnel",MAX(0,($A73*Calculateur!$B$56+$A73*F$65*Calculateur!$B$57)-Hypotheses!$B$97)/Hypotheses!$B$99,ROUNDUP(MAX(0,($A73*Calculateur!$B$56+$A73*F$65*Calculateur!$B$57)-Hypotheses!$B$97)/Hypotheses!$B$99,0))*Hypotheses!$B$101)*12),Hypotheses!$A$56)*Hypotheses!$B$56+MAX(0,MIN(MAX(0,($A73*F$65*Calculateur!$B$54-Calculateur!$B$58-IF(Hypotheses!$B$100="proportionnel",MAX(0,($A73*Calculateur!$B$56+$A73*F$65*Calculateur!$B$57)-Hypotheses!$B$97)/Hypotheses!$B$99,ROUNDUP(MAX(0,($A73*Calculateur!$B$56+$A73*F$65*Calculateur!$B$57)-Hypotheses!$B$97)/Hypotheses!$B$99,0))*Hypotheses!$B$101)*12),Hypotheses!$A$57)-Hypotheses!$A$56)*Hypotheses!$B$57+MAX(0,MIN(MAX(0,($A73*F$65*Calculateur!$B$54-Calculateur!$B$58-IF(Hypotheses!$B$100="proportionnel",MAX(0,($A73*Calculateur!$B$56+$A73*F$65*Calculateur!$B$57)-Hypotheses!$B$97)/Hypotheses!$B$99,ROUNDUP(MAX(0,($A73*Calculateur!$B$56+$A73*F$65*Calculateur!$B$57)-Hypotheses!$B$97)/Hypotheses!$B$99,0))*Hypotheses!$B$101)*12),Hypotheses!$A$58)-Hypotheses!$A$57)*Hypotheses!$B$58+MAX(0,MAX(0,($A73*F$65*Calculateur!$B$54-Calculateur!$B$58-IF(Hypotheses!$B$100="proportionnel",MAX(0,($A73*Calculateur!$B$56+$A73*F$65*Calculateur!$B$57)-Hypotheses!$B$97)/Hypotheses!$B$99,ROUNDUP(MAX(0,($A73*Calculateur!$B$56+$A73*F$65*Calculateur!$B$57)-Hypotheses!$B$97)/Hypotheses!$B$99,0))*Hypotheses!$B$101)*12)-Hypotheses!$A$58)*Hypotheses!$B$59)*(1+Hypotheses!$B$60)*(1-Hypotheses!$B$61)/12))*Hypotheses!$B$65</f>
        <v/>
      </c>
      <c r="G73" s="21">
        <f>(($A73*G$65*Calculateur!$B$54-Calculateur!$B$58-IF(Hypotheses!$B$100="proportionnel",MAX(0,($A73*Calculateur!$B$56+$A73*G$65*Calculateur!$B$57)-Hypotheses!$B$97)/Hypotheses!$B$99,ROUNDUP(MAX(0,($A73*Calculateur!$B$56+$A73*G$65*Calculateur!$B$57)-Hypotheses!$B$97)/Hypotheses!$B$99,0))*Hypotheses!$B$101)-(MIN(MAX(0,($A73*G$65*Calculateur!$B$54-Calculateur!$B$58-IF(Hypotheses!$B$100="proportionnel",MAX(0,($A73*Calculateur!$B$56+$A73*G$65*Calculateur!$B$57)-Hypotheses!$B$97)/Hypotheses!$B$99,ROUNDUP(MAX(0,($A73*Calculateur!$B$56+$A73*G$65*Calculateur!$B$57)-Hypotheses!$B$97)/Hypotheses!$B$99,0))*Hypotheses!$B$101)*12),Hypotheses!$A$56)*Hypotheses!$B$56+MAX(0,MIN(MAX(0,($A73*G$65*Calculateur!$B$54-Calculateur!$B$58-IF(Hypotheses!$B$100="proportionnel",MAX(0,($A73*Calculateur!$B$56+$A73*G$65*Calculateur!$B$57)-Hypotheses!$B$97)/Hypotheses!$B$99,ROUNDUP(MAX(0,($A73*Calculateur!$B$56+$A73*G$65*Calculateur!$B$57)-Hypotheses!$B$97)/Hypotheses!$B$99,0))*Hypotheses!$B$101)*12),Hypotheses!$A$57)-Hypotheses!$A$56)*Hypotheses!$B$57+MAX(0,MIN(MAX(0,($A73*G$65*Calculateur!$B$54-Calculateur!$B$58-IF(Hypotheses!$B$100="proportionnel",MAX(0,($A73*Calculateur!$B$56+$A73*G$65*Calculateur!$B$57)-Hypotheses!$B$97)/Hypotheses!$B$99,ROUNDUP(MAX(0,($A73*Calculateur!$B$56+$A73*G$65*Calculateur!$B$57)-Hypotheses!$B$97)/Hypotheses!$B$99,0))*Hypotheses!$B$101)*12),Hypotheses!$A$58)-Hypotheses!$A$57)*Hypotheses!$B$58+MAX(0,MAX(0,($A73*G$65*Calculateur!$B$54-Calculateur!$B$58-IF(Hypotheses!$B$100="proportionnel",MAX(0,($A73*Calculateur!$B$56+$A73*G$65*Calculateur!$B$57)-Hypotheses!$B$97)/Hypotheses!$B$99,ROUNDUP(MAX(0,($A73*Calculateur!$B$56+$A73*G$65*Calculateur!$B$57)-Hypotheses!$B$97)/Hypotheses!$B$99,0))*Hypotheses!$B$101)*12)-Hypotheses!$A$58)*Hypotheses!$B$59)*(1+Hypotheses!$B$60)*(1-Hypotheses!$B$61)/12)-MAX(0,(($A73*G$65*Calculateur!$B$54-Calculateur!$B$58-IF(Hypotheses!$B$100="proportionnel",MAX(0,($A73*Calculateur!$B$56+$A73*G$65*Calculateur!$B$57)-Hypotheses!$B$97)/Hypotheses!$B$99,ROUNDUP(MAX(0,($A73*Calculateur!$B$56+$A73*G$65*Calculateur!$B$57)-Hypotheses!$B$97)/Hypotheses!$B$99,0))*Hypotheses!$B$101)-(MIN(MAX(0,($A73*G$65*Calculateur!$B$54-Calculateur!$B$58-IF(Hypotheses!$B$100="proportionnel",MAX(0,($A73*Calculateur!$B$56+$A73*G$65*Calculateur!$B$57)-Hypotheses!$B$97)/Hypotheses!$B$99,ROUNDUP(MAX(0,($A73*Calculateur!$B$56+$A73*G$65*Calculateur!$B$57)-Hypotheses!$B$97)/Hypotheses!$B$99,0))*Hypotheses!$B$101)*12),Hypotheses!$A$56)*Hypotheses!$B$56+MAX(0,MIN(MAX(0,($A73*G$65*Calculateur!$B$54-Calculateur!$B$58-IF(Hypotheses!$B$100="proportionnel",MAX(0,($A73*Calculateur!$B$56+$A73*G$65*Calculateur!$B$57)-Hypotheses!$B$97)/Hypotheses!$B$99,ROUNDUP(MAX(0,($A73*Calculateur!$B$56+$A73*G$65*Calculateur!$B$57)-Hypotheses!$B$97)/Hypotheses!$B$99,0))*Hypotheses!$B$101)*12),Hypotheses!$A$57)-Hypotheses!$A$56)*Hypotheses!$B$57+MAX(0,MIN(MAX(0,($A73*G$65*Calculateur!$B$54-Calculateur!$B$58-IF(Hypotheses!$B$100="proportionnel",MAX(0,($A73*Calculateur!$B$56+$A73*G$65*Calculateur!$B$57)-Hypotheses!$B$97)/Hypotheses!$B$99,ROUNDUP(MAX(0,($A73*Calculateur!$B$56+$A73*G$65*Calculateur!$B$57)-Hypotheses!$B$97)/Hypotheses!$B$99,0))*Hypotheses!$B$101)*12),Hypotheses!$A$58)-Hypotheses!$A$57)*Hypotheses!$B$58+MAX(0,MAX(0,($A73*G$65*Calculateur!$B$54-Calculateur!$B$58-IF(Hypotheses!$B$100="proportionnel",MAX(0,($A73*Calculateur!$B$56+$A73*G$65*Calculateur!$B$57)-Hypotheses!$B$97)/Hypotheses!$B$99,ROUNDUP(MAX(0,($A73*Calculateur!$B$56+$A73*G$65*Calculateur!$B$57)-Hypotheses!$B$97)/Hypotheses!$B$99,0))*Hypotheses!$B$101)*12)-Hypotheses!$A$58)*Hypotheses!$B$59)*(1+Hypotheses!$B$60)*(1-Hypotheses!$B$61)/12))*Hypotheses!$B$65</f>
        <v/>
      </c>
      <c r="H73" s="21">
        <f>(($A73*H$65*Calculateur!$B$54-Calculateur!$B$58-IF(Hypotheses!$B$100="proportionnel",MAX(0,($A73*Calculateur!$B$56+$A73*H$65*Calculateur!$B$57)-Hypotheses!$B$97)/Hypotheses!$B$99,ROUNDUP(MAX(0,($A73*Calculateur!$B$56+$A73*H$65*Calculateur!$B$57)-Hypotheses!$B$97)/Hypotheses!$B$99,0))*Hypotheses!$B$101)-(MIN(MAX(0,($A73*H$65*Calculateur!$B$54-Calculateur!$B$58-IF(Hypotheses!$B$100="proportionnel",MAX(0,($A73*Calculateur!$B$56+$A73*H$65*Calculateur!$B$57)-Hypotheses!$B$97)/Hypotheses!$B$99,ROUNDUP(MAX(0,($A73*Calculateur!$B$56+$A73*H$65*Calculateur!$B$57)-Hypotheses!$B$97)/Hypotheses!$B$99,0))*Hypotheses!$B$101)*12),Hypotheses!$A$56)*Hypotheses!$B$56+MAX(0,MIN(MAX(0,($A73*H$65*Calculateur!$B$54-Calculateur!$B$58-IF(Hypotheses!$B$100="proportionnel",MAX(0,($A73*Calculateur!$B$56+$A73*H$65*Calculateur!$B$57)-Hypotheses!$B$97)/Hypotheses!$B$99,ROUNDUP(MAX(0,($A73*Calculateur!$B$56+$A73*H$65*Calculateur!$B$57)-Hypotheses!$B$97)/Hypotheses!$B$99,0))*Hypotheses!$B$101)*12),Hypotheses!$A$57)-Hypotheses!$A$56)*Hypotheses!$B$57+MAX(0,MIN(MAX(0,($A73*H$65*Calculateur!$B$54-Calculateur!$B$58-IF(Hypotheses!$B$100="proportionnel",MAX(0,($A73*Calculateur!$B$56+$A73*H$65*Calculateur!$B$57)-Hypotheses!$B$97)/Hypotheses!$B$99,ROUNDUP(MAX(0,($A73*Calculateur!$B$56+$A73*H$65*Calculateur!$B$57)-Hypotheses!$B$97)/Hypotheses!$B$99,0))*Hypotheses!$B$101)*12),Hypotheses!$A$58)-Hypotheses!$A$57)*Hypotheses!$B$58+MAX(0,MAX(0,($A73*H$65*Calculateur!$B$54-Calculateur!$B$58-IF(Hypotheses!$B$100="proportionnel",MAX(0,($A73*Calculateur!$B$56+$A73*H$65*Calculateur!$B$57)-Hypotheses!$B$97)/Hypotheses!$B$99,ROUNDUP(MAX(0,($A73*Calculateur!$B$56+$A73*H$65*Calculateur!$B$57)-Hypotheses!$B$97)/Hypotheses!$B$99,0))*Hypotheses!$B$101)*12)-Hypotheses!$A$58)*Hypotheses!$B$59)*(1+Hypotheses!$B$60)*(1-Hypotheses!$B$61)/12)-MAX(0,(($A73*H$65*Calculateur!$B$54-Calculateur!$B$58-IF(Hypotheses!$B$100="proportionnel",MAX(0,($A73*Calculateur!$B$56+$A73*H$65*Calculateur!$B$57)-Hypotheses!$B$97)/Hypotheses!$B$99,ROUNDUP(MAX(0,($A73*Calculateur!$B$56+$A73*H$65*Calculateur!$B$57)-Hypotheses!$B$97)/Hypotheses!$B$99,0))*Hypotheses!$B$101)-(MIN(MAX(0,($A73*H$65*Calculateur!$B$54-Calculateur!$B$58-IF(Hypotheses!$B$100="proportionnel",MAX(0,($A73*Calculateur!$B$56+$A73*H$65*Calculateur!$B$57)-Hypotheses!$B$97)/Hypotheses!$B$99,ROUNDUP(MAX(0,($A73*Calculateur!$B$56+$A73*H$65*Calculateur!$B$57)-Hypotheses!$B$97)/Hypotheses!$B$99,0))*Hypotheses!$B$101)*12),Hypotheses!$A$56)*Hypotheses!$B$56+MAX(0,MIN(MAX(0,($A73*H$65*Calculateur!$B$54-Calculateur!$B$58-IF(Hypotheses!$B$100="proportionnel",MAX(0,($A73*Calculateur!$B$56+$A73*H$65*Calculateur!$B$57)-Hypotheses!$B$97)/Hypotheses!$B$99,ROUNDUP(MAX(0,($A73*Calculateur!$B$56+$A73*H$65*Calculateur!$B$57)-Hypotheses!$B$97)/Hypotheses!$B$99,0))*Hypotheses!$B$101)*12),Hypotheses!$A$57)-Hypotheses!$A$56)*Hypotheses!$B$57+MAX(0,MIN(MAX(0,($A73*H$65*Calculateur!$B$54-Calculateur!$B$58-IF(Hypotheses!$B$100="proportionnel",MAX(0,($A73*Calculateur!$B$56+$A73*H$65*Calculateur!$B$57)-Hypotheses!$B$97)/Hypotheses!$B$99,ROUNDUP(MAX(0,($A73*Calculateur!$B$56+$A73*H$65*Calculateur!$B$57)-Hypotheses!$B$97)/Hypotheses!$B$99,0))*Hypotheses!$B$101)*12),Hypotheses!$A$58)-Hypotheses!$A$57)*Hypotheses!$B$58+MAX(0,MAX(0,($A73*H$65*Calculateur!$B$54-Calculateur!$B$58-IF(Hypotheses!$B$100="proportionnel",MAX(0,($A73*Calculateur!$B$56+$A73*H$65*Calculateur!$B$57)-Hypotheses!$B$97)/Hypotheses!$B$99,ROUNDUP(MAX(0,($A73*Calculateur!$B$56+$A73*H$65*Calculateur!$B$57)-Hypotheses!$B$97)/Hypotheses!$B$99,0))*Hypotheses!$B$101)*12)-Hypotheses!$A$58)*Hypotheses!$B$59)*(1+Hypotheses!$B$60)*(1-Hypotheses!$B$61)/12))*Hypotheses!$B$65</f>
        <v/>
      </c>
      <c r="I73" s="21">
        <f>(($A73*I$65*Calculateur!$B$54-Calculateur!$B$58-IF(Hypotheses!$B$100="proportionnel",MAX(0,($A73*Calculateur!$B$56+$A73*I$65*Calculateur!$B$57)-Hypotheses!$B$97)/Hypotheses!$B$99,ROUNDUP(MAX(0,($A73*Calculateur!$B$56+$A73*I$65*Calculateur!$B$57)-Hypotheses!$B$97)/Hypotheses!$B$99,0))*Hypotheses!$B$101)-(MIN(MAX(0,($A73*I$65*Calculateur!$B$54-Calculateur!$B$58-IF(Hypotheses!$B$100="proportionnel",MAX(0,($A73*Calculateur!$B$56+$A73*I$65*Calculateur!$B$57)-Hypotheses!$B$97)/Hypotheses!$B$99,ROUNDUP(MAX(0,($A73*Calculateur!$B$56+$A73*I$65*Calculateur!$B$57)-Hypotheses!$B$97)/Hypotheses!$B$99,0))*Hypotheses!$B$101)*12),Hypotheses!$A$56)*Hypotheses!$B$56+MAX(0,MIN(MAX(0,($A73*I$65*Calculateur!$B$54-Calculateur!$B$58-IF(Hypotheses!$B$100="proportionnel",MAX(0,($A73*Calculateur!$B$56+$A73*I$65*Calculateur!$B$57)-Hypotheses!$B$97)/Hypotheses!$B$99,ROUNDUP(MAX(0,($A73*Calculateur!$B$56+$A73*I$65*Calculateur!$B$57)-Hypotheses!$B$97)/Hypotheses!$B$99,0))*Hypotheses!$B$101)*12),Hypotheses!$A$57)-Hypotheses!$A$56)*Hypotheses!$B$57+MAX(0,MIN(MAX(0,($A73*I$65*Calculateur!$B$54-Calculateur!$B$58-IF(Hypotheses!$B$100="proportionnel",MAX(0,($A73*Calculateur!$B$56+$A73*I$65*Calculateur!$B$57)-Hypotheses!$B$97)/Hypotheses!$B$99,ROUNDUP(MAX(0,($A73*Calculateur!$B$56+$A73*I$65*Calculateur!$B$57)-Hypotheses!$B$97)/Hypotheses!$B$99,0))*Hypotheses!$B$101)*12),Hypotheses!$A$58)-Hypotheses!$A$57)*Hypotheses!$B$58+MAX(0,MAX(0,($A73*I$65*Calculateur!$B$54-Calculateur!$B$58-IF(Hypotheses!$B$100="proportionnel",MAX(0,($A73*Calculateur!$B$56+$A73*I$65*Calculateur!$B$57)-Hypotheses!$B$97)/Hypotheses!$B$99,ROUNDUP(MAX(0,($A73*Calculateur!$B$56+$A73*I$65*Calculateur!$B$57)-Hypotheses!$B$97)/Hypotheses!$B$99,0))*Hypotheses!$B$101)*12)-Hypotheses!$A$58)*Hypotheses!$B$59)*(1+Hypotheses!$B$60)*(1-Hypotheses!$B$61)/12)-MAX(0,(($A73*I$65*Calculateur!$B$54-Calculateur!$B$58-IF(Hypotheses!$B$100="proportionnel",MAX(0,($A73*Calculateur!$B$56+$A73*I$65*Calculateur!$B$57)-Hypotheses!$B$97)/Hypotheses!$B$99,ROUNDUP(MAX(0,($A73*Calculateur!$B$56+$A73*I$65*Calculateur!$B$57)-Hypotheses!$B$97)/Hypotheses!$B$99,0))*Hypotheses!$B$101)-(MIN(MAX(0,($A73*I$65*Calculateur!$B$54-Calculateur!$B$58-IF(Hypotheses!$B$100="proportionnel",MAX(0,($A73*Calculateur!$B$56+$A73*I$65*Calculateur!$B$57)-Hypotheses!$B$97)/Hypotheses!$B$99,ROUNDUP(MAX(0,($A73*Calculateur!$B$56+$A73*I$65*Calculateur!$B$57)-Hypotheses!$B$97)/Hypotheses!$B$99,0))*Hypotheses!$B$101)*12),Hypotheses!$A$56)*Hypotheses!$B$56+MAX(0,MIN(MAX(0,($A73*I$65*Calculateur!$B$54-Calculateur!$B$58-IF(Hypotheses!$B$100="proportionnel",MAX(0,($A73*Calculateur!$B$56+$A73*I$65*Calculateur!$B$57)-Hypotheses!$B$97)/Hypotheses!$B$99,ROUNDUP(MAX(0,($A73*Calculateur!$B$56+$A73*I$65*Calculateur!$B$57)-Hypotheses!$B$97)/Hypotheses!$B$99,0))*Hypotheses!$B$101)*12),Hypotheses!$A$57)-Hypotheses!$A$56)*Hypotheses!$B$57+MAX(0,MIN(MAX(0,($A73*I$65*Calculateur!$B$54-Calculateur!$B$58-IF(Hypotheses!$B$100="proportionnel",MAX(0,($A73*Calculateur!$B$56+$A73*I$65*Calculateur!$B$57)-Hypotheses!$B$97)/Hypotheses!$B$99,ROUNDUP(MAX(0,($A73*Calculateur!$B$56+$A73*I$65*Calculateur!$B$57)-Hypotheses!$B$97)/Hypotheses!$B$99,0))*Hypotheses!$B$101)*12),Hypotheses!$A$58)-Hypotheses!$A$57)*Hypotheses!$B$58+MAX(0,MAX(0,($A73*I$65*Calculateur!$B$54-Calculateur!$B$58-IF(Hypotheses!$B$100="proportionnel",MAX(0,($A73*Calculateur!$B$56+$A73*I$65*Calculateur!$B$57)-Hypotheses!$B$97)/Hypotheses!$B$99,ROUNDUP(MAX(0,($A73*Calculateur!$B$56+$A73*I$65*Calculateur!$B$57)-Hypotheses!$B$97)/Hypotheses!$B$99,0))*Hypotheses!$B$101)*12)-Hypotheses!$A$58)*Hypotheses!$B$59)*(1+Hypotheses!$B$60)*(1-Hypotheses!$B$61)/12))*Hypotheses!$B$65</f>
        <v/>
      </c>
    </row>
    <row r="74">
      <c r="A74" s="36" t="n">
        <v>75</v>
      </c>
      <c r="B74" s="21">
        <f>(($A74*B$65*Calculateur!$B$54-Calculateur!$B$58-IF(Hypotheses!$B$100="proportionnel",MAX(0,($A74*Calculateur!$B$56+$A74*B$65*Calculateur!$B$57)-Hypotheses!$B$97)/Hypotheses!$B$99,ROUNDUP(MAX(0,($A74*Calculateur!$B$56+$A74*B$65*Calculateur!$B$57)-Hypotheses!$B$97)/Hypotheses!$B$99,0))*Hypotheses!$B$101)-(MIN(MAX(0,($A74*B$65*Calculateur!$B$54-Calculateur!$B$58-IF(Hypotheses!$B$100="proportionnel",MAX(0,($A74*Calculateur!$B$56+$A74*B$65*Calculateur!$B$57)-Hypotheses!$B$97)/Hypotheses!$B$99,ROUNDUP(MAX(0,($A74*Calculateur!$B$56+$A74*B$65*Calculateur!$B$57)-Hypotheses!$B$97)/Hypotheses!$B$99,0))*Hypotheses!$B$101)*12),Hypotheses!$A$56)*Hypotheses!$B$56+MAX(0,MIN(MAX(0,($A74*B$65*Calculateur!$B$54-Calculateur!$B$58-IF(Hypotheses!$B$100="proportionnel",MAX(0,($A74*Calculateur!$B$56+$A74*B$65*Calculateur!$B$57)-Hypotheses!$B$97)/Hypotheses!$B$99,ROUNDUP(MAX(0,($A74*Calculateur!$B$56+$A74*B$65*Calculateur!$B$57)-Hypotheses!$B$97)/Hypotheses!$B$99,0))*Hypotheses!$B$101)*12),Hypotheses!$A$57)-Hypotheses!$A$56)*Hypotheses!$B$57+MAX(0,MIN(MAX(0,($A74*B$65*Calculateur!$B$54-Calculateur!$B$58-IF(Hypotheses!$B$100="proportionnel",MAX(0,($A74*Calculateur!$B$56+$A74*B$65*Calculateur!$B$57)-Hypotheses!$B$97)/Hypotheses!$B$99,ROUNDUP(MAX(0,($A74*Calculateur!$B$56+$A74*B$65*Calculateur!$B$57)-Hypotheses!$B$97)/Hypotheses!$B$99,0))*Hypotheses!$B$101)*12),Hypotheses!$A$58)-Hypotheses!$A$57)*Hypotheses!$B$58+MAX(0,MAX(0,($A74*B$65*Calculateur!$B$54-Calculateur!$B$58-IF(Hypotheses!$B$100="proportionnel",MAX(0,($A74*Calculateur!$B$56+$A74*B$65*Calculateur!$B$57)-Hypotheses!$B$97)/Hypotheses!$B$99,ROUNDUP(MAX(0,($A74*Calculateur!$B$56+$A74*B$65*Calculateur!$B$57)-Hypotheses!$B$97)/Hypotheses!$B$99,0))*Hypotheses!$B$101)*12)-Hypotheses!$A$58)*Hypotheses!$B$59)*(1+Hypotheses!$B$60)*(1-Hypotheses!$B$61)/12)-MAX(0,(($A74*B$65*Calculateur!$B$54-Calculateur!$B$58-IF(Hypotheses!$B$100="proportionnel",MAX(0,($A74*Calculateur!$B$56+$A74*B$65*Calculateur!$B$57)-Hypotheses!$B$97)/Hypotheses!$B$99,ROUNDUP(MAX(0,($A74*Calculateur!$B$56+$A74*B$65*Calculateur!$B$57)-Hypotheses!$B$97)/Hypotheses!$B$99,0))*Hypotheses!$B$101)-(MIN(MAX(0,($A74*B$65*Calculateur!$B$54-Calculateur!$B$58-IF(Hypotheses!$B$100="proportionnel",MAX(0,($A74*Calculateur!$B$56+$A74*B$65*Calculateur!$B$57)-Hypotheses!$B$97)/Hypotheses!$B$99,ROUNDUP(MAX(0,($A74*Calculateur!$B$56+$A74*B$65*Calculateur!$B$57)-Hypotheses!$B$97)/Hypotheses!$B$99,0))*Hypotheses!$B$101)*12),Hypotheses!$A$56)*Hypotheses!$B$56+MAX(0,MIN(MAX(0,($A74*B$65*Calculateur!$B$54-Calculateur!$B$58-IF(Hypotheses!$B$100="proportionnel",MAX(0,($A74*Calculateur!$B$56+$A74*B$65*Calculateur!$B$57)-Hypotheses!$B$97)/Hypotheses!$B$99,ROUNDUP(MAX(0,($A74*Calculateur!$B$56+$A74*B$65*Calculateur!$B$57)-Hypotheses!$B$97)/Hypotheses!$B$99,0))*Hypotheses!$B$101)*12),Hypotheses!$A$57)-Hypotheses!$A$56)*Hypotheses!$B$57+MAX(0,MIN(MAX(0,($A74*B$65*Calculateur!$B$54-Calculateur!$B$58-IF(Hypotheses!$B$100="proportionnel",MAX(0,($A74*Calculateur!$B$56+$A74*B$65*Calculateur!$B$57)-Hypotheses!$B$97)/Hypotheses!$B$99,ROUNDUP(MAX(0,($A74*Calculateur!$B$56+$A74*B$65*Calculateur!$B$57)-Hypotheses!$B$97)/Hypotheses!$B$99,0))*Hypotheses!$B$101)*12),Hypotheses!$A$58)-Hypotheses!$A$57)*Hypotheses!$B$58+MAX(0,MAX(0,($A74*B$65*Calculateur!$B$54-Calculateur!$B$58-IF(Hypotheses!$B$100="proportionnel",MAX(0,($A74*Calculateur!$B$56+$A74*B$65*Calculateur!$B$57)-Hypotheses!$B$97)/Hypotheses!$B$99,ROUNDUP(MAX(0,($A74*Calculateur!$B$56+$A74*B$65*Calculateur!$B$57)-Hypotheses!$B$97)/Hypotheses!$B$99,0))*Hypotheses!$B$101)*12)-Hypotheses!$A$58)*Hypotheses!$B$59)*(1+Hypotheses!$B$60)*(1-Hypotheses!$B$61)/12))*Hypotheses!$B$65</f>
        <v/>
      </c>
      <c r="C74" s="21">
        <f>(($A74*C$65*Calculateur!$B$54-Calculateur!$B$58-IF(Hypotheses!$B$100="proportionnel",MAX(0,($A74*Calculateur!$B$56+$A74*C$65*Calculateur!$B$57)-Hypotheses!$B$97)/Hypotheses!$B$99,ROUNDUP(MAX(0,($A74*Calculateur!$B$56+$A74*C$65*Calculateur!$B$57)-Hypotheses!$B$97)/Hypotheses!$B$99,0))*Hypotheses!$B$101)-(MIN(MAX(0,($A74*C$65*Calculateur!$B$54-Calculateur!$B$58-IF(Hypotheses!$B$100="proportionnel",MAX(0,($A74*Calculateur!$B$56+$A74*C$65*Calculateur!$B$57)-Hypotheses!$B$97)/Hypotheses!$B$99,ROUNDUP(MAX(0,($A74*Calculateur!$B$56+$A74*C$65*Calculateur!$B$57)-Hypotheses!$B$97)/Hypotheses!$B$99,0))*Hypotheses!$B$101)*12),Hypotheses!$A$56)*Hypotheses!$B$56+MAX(0,MIN(MAX(0,($A74*C$65*Calculateur!$B$54-Calculateur!$B$58-IF(Hypotheses!$B$100="proportionnel",MAX(0,($A74*Calculateur!$B$56+$A74*C$65*Calculateur!$B$57)-Hypotheses!$B$97)/Hypotheses!$B$99,ROUNDUP(MAX(0,($A74*Calculateur!$B$56+$A74*C$65*Calculateur!$B$57)-Hypotheses!$B$97)/Hypotheses!$B$99,0))*Hypotheses!$B$101)*12),Hypotheses!$A$57)-Hypotheses!$A$56)*Hypotheses!$B$57+MAX(0,MIN(MAX(0,($A74*C$65*Calculateur!$B$54-Calculateur!$B$58-IF(Hypotheses!$B$100="proportionnel",MAX(0,($A74*Calculateur!$B$56+$A74*C$65*Calculateur!$B$57)-Hypotheses!$B$97)/Hypotheses!$B$99,ROUNDUP(MAX(0,($A74*Calculateur!$B$56+$A74*C$65*Calculateur!$B$57)-Hypotheses!$B$97)/Hypotheses!$B$99,0))*Hypotheses!$B$101)*12),Hypotheses!$A$58)-Hypotheses!$A$57)*Hypotheses!$B$58+MAX(0,MAX(0,($A74*C$65*Calculateur!$B$54-Calculateur!$B$58-IF(Hypotheses!$B$100="proportionnel",MAX(0,($A74*Calculateur!$B$56+$A74*C$65*Calculateur!$B$57)-Hypotheses!$B$97)/Hypotheses!$B$99,ROUNDUP(MAX(0,($A74*Calculateur!$B$56+$A74*C$65*Calculateur!$B$57)-Hypotheses!$B$97)/Hypotheses!$B$99,0))*Hypotheses!$B$101)*12)-Hypotheses!$A$58)*Hypotheses!$B$59)*(1+Hypotheses!$B$60)*(1-Hypotheses!$B$61)/12)-MAX(0,(($A74*C$65*Calculateur!$B$54-Calculateur!$B$58-IF(Hypotheses!$B$100="proportionnel",MAX(0,($A74*Calculateur!$B$56+$A74*C$65*Calculateur!$B$57)-Hypotheses!$B$97)/Hypotheses!$B$99,ROUNDUP(MAX(0,($A74*Calculateur!$B$56+$A74*C$65*Calculateur!$B$57)-Hypotheses!$B$97)/Hypotheses!$B$99,0))*Hypotheses!$B$101)-(MIN(MAX(0,($A74*C$65*Calculateur!$B$54-Calculateur!$B$58-IF(Hypotheses!$B$100="proportionnel",MAX(0,($A74*Calculateur!$B$56+$A74*C$65*Calculateur!$B$57)-Hypotheses!$B$97)/Hypotheses!$B$99,ROUNDUP(MAX(0,($A74*Calculateur!$B$56+$A74*C$65*Calculateur!$B$57)-Hypotheses!$B$97)/Hypotheses!$B$99,0))*Hypotheses!$B$101)*12),Hypotheses!$A$56)*Hypotheses!$B$56+MAX(0,MIN(MAX(0,($A74*C$65*Calculateur!$B$54-Calculateur!$B$58-IF(Hypotheses!$B$100="proportionnel",MAX(0,($A74*Calculateur!$B$56+$A74*C$65*Calculateur!$B$57)-Hypotheses!$B$97)/Hypotheses!$B$99,ROUNDUP(MAX(0,($A74*Calculateur!$B$56+$A74*C$65*Calculateur!$B$57)-Hypotheses!$B$97)/Hypotheses!$B$99,0))*Hypotheses!$B$101)*12),Hypotheses!$A$57)-Hypotheses!$A$56)*Hypotheses!$B$57+MAX(0,MIN(MAX(0,($A74*C$65*Calculateur!$B$54-Calculateur!$B$58-IF(Hypotheses!$B$100="proportionnel",MAX(0,($A74*Calculateur!$B$56+$A74*C$65*Calculateur!$B$57)-Hypotheses!$B$97)/Hypotheses!$B$99,ROUNDUP(MAX(0,($A74*Calculateur!$B$56+$A74*C$65*Calculateur!$B$57)-Hypotheses!$B$97)/Hypotheses!$B$99,0))*Hypotheses!$B$101)*12),Hypotheses!$A$58)-Hypotheses!$A$57)*Hypotheses!$B$58+MAX(0,MAX(0,($A74*C$65*Calculateur!$B$54-Calculateur!$B$58-IF(Hypotheses!$B$100="proportionnel",MAX(0,($A74*Calculateur!$B$56+$A74*C$65*Calculateur!$B$57)-Hypotheses!$B$97)/Hypotheses!$B$99,ROUNDUP(MAX(0,($A74*Calculateur!$B$56+$A74*C$65*Calculateur!$B$57)-Hypotheses!$B$97)/Hypotheses!$B$99,0))*Hypotheses!$B$101)*12)-Hypotheses!$A$58)*Hypotheses!$B$59)*(1+Hypotheses!$B$60)*(1-Hypotheses!$B$61)/12))*Hypotheses!$B$65</f>
        <v/>
      </c>
      <c r="D74" s="21">
        <f>(($A74*D$65*Calculateur!$B$54-Calculateur!$B$58-IF(Hypotheses!$B$100="proportionnel",MAX(0,($A74*Calculateur!$B$56+$A74*D$65*Calculateur!$B$57)-Hypotheses!$B$97)/Hypotheses!$B$99,ROUNDUP(MAX(0,($A74*Calculateur!$B$56+$A74*D$65*Calculateur!$B$57)-Hypotheses!$B$97)/Hypotheses!$B$99,0))*Hypotheses!$B$101)-(MIN(MAX(0,($A74*D$65*Calculateur!$B$54-Calculateur!$B$58-IF(Hypotheses!$B$100="proportionnel",MAX(0,($A74*Calculateur!$B$56+$A74*D$65*Calculateur!$B$57)-Hypotheses!$B$97)/Hypotheses!$B$99,ROUNDUP(MAX(0,($A74*Calculateur!$B$56+$A74*D$65*Calculateur!$B$57)-Hypotheses!$B$97)/Hypotheses!$B$99,0))*Hypotheses!$B$101)*12),Hypotheses!$A$56)*Hypotheses!$B$56+MAX(0,MIN(MAX(0,($A74*D$65*Calculateur!$B$54-Calculateur!$B$58-IF(Hypotheses!$B$100="proportionnel",MAX(0,($A74*Calculateur!$B$56+$A74*D$65*Calculateur!$B$57)-Hypotheses!$B$97)/Hypotheses!$B$99,ROUNDUP(MAX(0,($A74*Calculateur!$B$56+$A74*D$65*Calculateur!$B$57)-Hypotheses!$B$97)/Hypotheses!$B$99,0))*Hypotheses!$B$101)*12),Hypotheses!$A$57)-Hypotheses!$A$56)*Hypotheses!$B$57+MAX(0,MIN(MAX(0,($A74*D$65*Calculateur!$B$54-Calculateur!$B$58-IF(Hypotheses!$B$100="proportionnel",MAX(0,($A74*Calculateur!$B$56+$A74*D$65*Calculateur!$B$57)-Hypotheses!$B$97)/Hypotheses!$B$99,ROUNDUP(MAX(0,($A74*Calculateur!$B$56+$A74*D$65*Calculateur!$B$57)-Hypotheses!$B$97)/Hypotheses!$B$99,0))*Hypotheses!$B$101)*12),Hypotheses!$A$58)-Hypotheses!$A$57)*Hypotheses!$B$58+MAX(0,MAX(0,($A74*D$65*Calculateur!$B$54-Calculateur!$B$58-IF(Hypotheses!$B$100="proportionnel",MAX(0,($A74*Calculateur!$B$56+$A74*D$65*Calculateur!$B$57)-Hypotheses!$B$97)/Hypotheses!$B$99,ROUNDUP(MAX(0,($A74*Calculateur!$B$56+$A74*D$65*Calculateur!$B$57)-Hypotheses!$B$97)/Hypotheses!$B$99,0))*Hypotheses!$B$101)*12)-Hypotheses!$A$58)*Hypotheses!$B$59)*(1+Hypotheses!$B$60)*(1-Hypotheses!$B$61)/12)-MAX(0,(($A74*D$65*Calculateur!$B$54-Calculateur!$B$58-IF(Hypotheses!$B$100="proportionnel",MAX(0,($A74*Calculateur!$B$56+$A74*D$65*Calculateur!$B$57)-Hypotheses!$B$97)/Hypotheses!$B$99,ROUNDUP(MAX(0,($A74*Calculateur!$B$56+$A74*D$65*Calculateur!$B$57)-Hypotheses!$B$97)/Hypotheses!$B$99,0))*Hypotheses!$B$101)-(MIN(MAX(0,($A74*D$65*Calculateur!$B$54-Calculateur!$B$58-IF(Hypotheses!$B$100="proportionnel",MAX(0,($A74*Calculateur!$B$56+$A74*D$65*Calculateur!$B$57)-Hypotheses!$B$97)/Hypotheses!$B$99,ROUNDUP(MAX(0,($A74*Calculateur!$B$56+$A74*D$65*Calculateur!$B$57)-Hypotheses!$B$97)/Hypotheses!$B$99,0))*Hypotheses!$B$101)*12),Hypotheses!$A$56)*Hypotheses!$B$56+MAX(0,MIN(MAX(0,($A74*D$65*Calculateur!$B$54-Calculateur!$B$58-IF(Hypotheses!$B$100="proportionnel",MAX(0,($A74*Calculateur!$B$56+$A74*D$65*Calculateur!$B$57)-Hypotheses!$B$97)/Hypotheses!$B$99,ROUNDUP(MAX(0,($A74*Calculateur!$B$56+$A74*D$65*Calculateur!$B$57)-Hypotheses!$B$97)/Hypotheses!$B$99,0))*Hypotheses!$B$101)*12),Hypotheses!$A$57)-Hypotheses!$A$56)*Hypotheses!$B$57+MAX(0,MIN(MAX(0,($A74*D$65*Calculateur!$B$54-Calculateur!$B$58-IF(Hypotheses!$B$100="proportionnel",MAX(0,($A74*Calculateur!$B$56+$A74*D$65*Calculateur!$B$57)-Hypotheses!$B$97)/Hypotheses!$B$99,ROUNDUP(MAX(0,($A74*Calculateur!$B$56+$A74*D$65*Calculateur!$B$57)-Hypotheses!$B$97)/Hypotheses!$B$99,0))*Hypotheses!$B$101)*12),Hypotheses!$A$58)-Hypotheses!$A$57)*Hypotheses!$B$58+MAX(0,MAX(0,($A74*D$65*Calculateur!$B$54-Calculateur!$B$58-IF(Hypotheses!$B$100="proportionnel",MAX(0,($A74*Calculateur!$B$56+$A74*D$65*Calculateur!$B$57)-Hypotheses!$B$97)/Hypotheses!$B$99,ROUNDUP(MAX(0,($A74*Calculateur!$B$56+$A74*D$65*Calculateur!$B$57)-Hypotheses!$B$97)/Hypotheses!$B$99,0))*Hypotheses!$B$101)*12)-Hypotheses!$A$58)*Hypotheses!$B$59)*(1+Hypotheses!$B$60)*(1-Hypotheses!$B$61)/12))*Hypotheses!$B$65</f>
        <v/>
      </c>
      <c r="E74" s="21">
        <f>(($A74*E$65*Calculateur!$B$54-Calculateur!$B$58-IF(Hypotheses!$B$100="proportionnel",MAX(0,($A74*Calculateur!$B$56+$A74*E$65*Calculateur!$B$57)-Hypotheses!$B$97)/Hypotheses!$B$99,ROUNDUP(MAX(0,($A74*Calculateur!$B$56+$A74*E$65*Calculateur!$B$57)-Hypotheses!$B$97)/Hypotheses!$B$99,0))*Hypotheses!$B$101)-(MIN(MAX(0,($A74*E$65*Calculateur!$B$54-Calculateur!$B$58-IF(Hypotheses!$B$100="proportionnel",MAX(0,($A74*Calculateur!$B$56+$A74*E$65*Calculateur!$B$57)-Hypotheses!$B$97)/Hypotheses!$B$99,ROUNDUP(MAX(0,($A74*Calculateur!$B$56+$A74*E$65*Calculateur!$B$57)-Hypotheses!$B$97)/Hypotheses!$B$99,0))*Hypotheses!$B$101)*12),Hypotheses!$A$56)*Hypotheses!$B$56+MAX(0,MIN(MAX(0,($A74*E$65*Calculateur!$B$54-Calculateur!$B$58-IF(Hypotheses!$B$100="proportionnel",MAX(0,($A74*Calculateur!$B$56+$A74*E$65*Calculateur!$B$57)-Hypotheses!$B$97)/Hypotheses!$B$99,ROUNDUP(MAX(0,($A74*Calculateur!$B$56+$A74*E$65*Calculateur!$B$57)-Hypotheses!$B$97)/Hypotheses!$B$99,0))*Hypotheses!$B$101)*12),Hypotheses!$A$57)-Hypotheses!$A$56)*Hypotheses!$B$57+MAX(0,MIN(MAX(0,($A74*E$65*Calculateur!$B$54-Calculateur!$B$58-IF(Hypotheses!$B$100="proportionnel",MAX(0,($A74*Calculateur!$B$56+$A74*E$65*Calculateur!$B$57)-Hypotheses!$B$97)/Hypotheses!$B$99,ROUNDUP(MAX(0,($A74*Calculateur!$B$56+$A74*E$65*Calculateur!$B$57)-Hypotheses!$B$97)/Hypotheses!$B$99,0))*Hypotheses!$B$101)*12),Hypotheses!$A$58)-Hypotheses!$A$57)*Hypotheses!$B$58+MAX(0,MAX(0,($A74*E$65*Calculateur!$B$54-Calculateur!$B$58-IF(Hypotheses!$B$100="proportionnel",MAX(0,($A74*Calculateur!$B$56+$A74*E$65*Calculateur!$B$57)-Hypotheses!$B$97)/Hypotheses!$B$99,ROUNDUP(MAX(0,($A74*Calculateur!$B$56+$A74*E$65*Calculateur!$B$57)-Hypotheses!$B$97)/Hypotheses!$B$99,0))*Hypotheses!$B$101)*12)-Hypotheses!$A$58)*Hypotheses!$B$59)*(1+Hypotheses!$B$60)*(1-Hypotheses!$B$61)/12)-MAX(0,(($A74*E$65*Calculateur!$B$54-Calculateur!$B$58-IF(Hypotheses!$B$100="proportionnel",MAX(0,($A74*Calculateur!$B$56+$A74*E$65*Calculateur!$B$57)-Hypotheses!$B$97)/Hypotheses!$B$99,ROUNDUP(MAX(0,($A74*Calculateur!$B$56+$A74*E$65*Calculateur!$B$57)-Hypotheses!$B$97)/Hypotheses!$B$99,0))*Hypotheses!$B$101)-(MIN(MAX(0,($A74*E$65*Calculateur!$B$54-Calculateur!$B$58-IF(Hypotheses!$B$100="proportionnel",MAX(0,($A74*Calculateur!$B$56+$A74*E$65*Calculateur!$B$57)-Hypotheses!$B$97)/Hypotheses!$B$99,ROUNDUP(MAX(0,($A74*Calculateur!$B$56+$A74*E$65*Calculateur!$B$57)-Hypotheses!$B$97)/Hypotheses!$B$99,0))*Hypotheses!$B$101)*12),Hypotheses!$A$56)*Hypotheses!$B$56+MAX(0,MIN(MAX(0,($A74*E$65*Calculateur!$B$54-Calculateur!$B$58-IF(Hypotheses!$B$100="proportionnel",MAX(0,($A74*Calculateur!$B$56+$A74*E$65*Calculateur!$B$57)-Hypotheses!$B$97)/Hypotheses!$B$99,ROUNDUP(MAX(0,($A74*Calculateur!$B$56+$A74*E$65*Calculateur!$B$57)-Hypotheses!$B$97)/Hypotheses!$B$99,0))*Hypotheses!$B$101)*12),Hypotheses!$A$57)-Hypotheses!$A$56)*Hypotheses!$B$57+MAX(0,MIN(MAX(0,($A74*E$65*Calculateur!$B$54-Calculateur!$B$58-IF(Hypotheses!$B$100="proportionnel",MAX(0,($A74*Calculateur!$B$56+$A74*E$65*Calculateur!$B$57)-Hypotheses!$B$97)/Hypotheses!$B$99,ROUNDUP(MAX(0,($A74*Calculateur!$B$56+$A74*E$65*Calculateur!$B$57)-Hypotheses!$B$97)/Hypotheses!$B$99,0))*Hypotheses!$B$101)*12),Hypotheses!$A$58)-Hypotheses!$A$57)*Hypotheses!$B$58+MAX(0,MAX(0,($A74*E$65*Calculateur!$B$54-Calculateur!$B$58-IF(Hypotheses!$B$100="proportionnel",MAX(0,($A74*Calculateur!$B$56+$A74*E$65*Calculateur!$B$57)-Hypotheses!$B$97)/Hypotheses!$B$99,ROUNDUP(MAX(0,($A74*Calculateur!$B$56+$A74*E$65*Calculateur!$B$57)-Hypotheses!$B$97)/Hypotheses!$B$99,0))*Hypotheses!$B$101)*12)-Hypotheses!$A$58)*Hypotheses!$B$59)*(1+Hypotheses!$B$60)*(1-Hypotheses!$B$61)/12))*Hypotheses!$B$65</f>
        <v/>
      </c>
      <c r="F74" s="21">
        <f>(($A74*F$65*Calculateur!$B$54-Calculateur!$B$58-IF(Hypotheses!$B$100="proportionnel",MAX(0,($A74*Calculateur!$B$56+$A74*F$65*Calculateur!$B$57)-Hypotheses!$B$97)/Hypotheses!$B$99,ROUNDUP(MAX(0,($A74*Calculateur!$B$56+$A74*F$65*Calculateur!$B$57)-Hypotheses!$B$97)/Hypotheses!$B$99,0))*Hypotheses!$B$101)-(MIN(MAX(0,($A74*F$65*Calculateur!$B$54-Calculateur!$B$58-IF(Hypotheses!$B$100="proportionnel",MAX(0,($A74*Calculateur!$B$56+$A74*F$65*Calculateur!$B$57)-Hypotheses!$B$97)/Hypotheses!$B$99,ROUNDUP(MAX(0,($A74*Calculateur!$B$56+$A74*F$65*Calculateur!$B$57)-Hypotheses!$B$97)/Hypotheses!$B$99,0))*Hypotheses!$B$101)*12),Hypotheses!$A$56)*Hypotheses!$B$56+MAX(0,MIN(MAX(0,($A74*F$65*Calculateur!$B$54-Calculateur!$B$58-IF(Hypotheses!$B$100="proportionnel",MAX(0,($A74*Calculateur!$B$56+$A74*F$65*Calculateur!$B$57)-Hypotheses!$B$97)/Hypotheses!$B$99,ROUNDUP(MAX(0,($A74*Calculateur!$B$56+$A74*F$65*Calculateur!$B$57)-Hypotheses!$B$97)/Hypotheses!$B$99,0))*Hypotheses!$B$101)*12),Hypotheses!$A$57)-Hypotheses!$A$56)*Hypotheses!$B$57+MAX(0,MIN(MAX(0,($A74*F$65*Calculateur!$B$54-Calculateur!$B$58-IF(Hypotheses!$B$100="proportionnel",MAX(0,($A74*Calculateur!$B$56+$A74*F$65*Calculateur!$B$57)-Hypotheses!$B$97)/Hypotheses!$B$99,ROUNDUP(MAX(0,($A74*Calculateur!$B$56+$A74*F$65*Calculateur!$B$57)-Hypotheses!$B$97)/Hypotheses!$B$99,0))*Hypotheses!$B$101)*12),Hypotheses!$A$58)-Hypotheses!$A$57)*Hypotheses!$B$58+MAX(0,MAX(0,($A74*F$65*Calculateur!$B$54-Calculateur!$B$58-IF(Hypotheses!$B$100="proportionnel",MAX(0,($A74*Calculateur!$B$56+$A74*F$65*Calculateur!$B$57)-Hypotheses!$B$97)/Hypotheses!$B$99,ROUNDUP(MAX(0,($A74*Calculateur!$B$56+$A74*F$65*Calculateur!$B$57)-Hypotheses!$B$97)/Hypotheses!$B$99,0))*Hypotheses!$B$101)*12)-Hypotheses!$A$58)*Hypotheses!$B$59)*(1+Hypotheses!$B$60)*(1-Hypotheses!$B$61)/12)-MAX(0,(($A74*F$65*Calculateur!$B$54-Calculateur!$B$58-IF(Hypotheses!$B$100="proportionnel",MAX(0,($A74*Calculateur!$B$56+$A74*F$65*Calculateur!$B$57)-Hypotheses!$B$97)/Hypotheses!$B$99,ROUNDUP(MAX(0,($A74*Calculateur!$B$56+$A74*F$65*Calculateur!$B$57)-Hypotheses!$B$97)/Hypotheses!$B$99,0))*Hypotheses!$B$101)-(MIN(MAX(0,($A74*F$65*Calculateur!$B$54-Calculateur!$B$58-IF(Hypotheses!$B$100="proportionnel",MAX(0,($A74*Calculateur!$B$56+$A74*F$65*Calculateur!$B$57)-Hypotheses!$B$97)/Hypotheses!$B$99,ROUNDUP(MAX(0,($A74*Calculateur!$B$56+$A74*F$65*Calculateur!$B$57)-Hypotheses!$B$97)/Hypotheses!$B$99,0))*Hypotheses!$B$101)*12),Hypotheses!$A$56)*Hypotheses!$B$56+MAX(0,MIN(MAX(0,($A74*F$65*Calculateur!$B$54-Calculateur!$B$58-IF(Hypotheses!$B$100="proportionnel",MAX(0,($A74*Calculateur!$B$56+$A74*F$65*Calculateur!$B$57)-Hypotheses!$B$97)/Hypotheses!$B$99,ROUNDUP(MAX(0,($A74*Calculateur!$B$56+$A74*F$65*Calculateur!$B$57)-Hypotheses!$B$97)/Hypotheses!$B$99,0))*Hypotheses!$B$101)*12),Hypotheses!$A$57)-Hypotheses!$A$56)*Hypotheses!$B$57+MAX(0,MIN(MAX(0,($A74*F$65*Calculateur!$B$54-Calculateur!$B$58-IF(Hypotheses!$B$100="proportionnel",MAX(0,($A74*Calculateur!$B$56+$A74*F$65*Calculateur!$B$57)-Hypotheses!$B$97)/Hypotheses!$B$99,ROUNDUP(MAX(0,($A74*Calculateur!$B$56+$A74*F$65*Calculateur!$B$57)-Hypotheses!$B$97)/Hypotheses!$B$99,0))*Hypotheses!$B$101)*12),Hypotheses!$A$58)-Hypotheses!$A$57)*Hypotheses!$B$58+MAX(0,MAX(0,($A74*F$65*Calculateur!$B$54-Calculateur!$B$58-IF(Hypotheses!$B$100="proportionnel",MAX(0,($A74*Calculateur!$B$56+$A74*F$65*Calculateur!$B$57)-Hypotheses!$B$97)/Hypotheses!$B$99,ROUNDUP(MAX(0,($A74*Calculateur!$B$56+$A74*F$65*Calculateur!$B$57)-Hypotheses!$B$97)/Hypotheses!$B$99,0))*Hypotheses!$B$101)*12)-Hypotheses!$A$58)*Hypotheses!$B$59)*(1+Hypotheses!$B$60)*(1-Hypotheses!$B$61)/12))*Hypotheses!$B$65</f>
        <v/>
      </c>
      <c r="G74" s="21">
        <f>(($A74*G$65*Calculateur!$B$54-Calculateur!$B$58-IF(Hypotheses!$B$100="proportionnel",MAX(0,($A74*Calculateur!$B$56+$A74*G$65*Calculateur!$B$57)-Hypotheses!$B$97)/Hypotheses!$B$99,ROUNDUP(MAX(0,($A74*Calculateur!$B$56+$A74*G$65*Calculateur!$B$57)-Hypotheses!$B$97)/Hypotheses!$B$99,0))*Hypotheses!$B$101)-(MIN(MAX(0,($A74*G$65*Calculateur!$B$54-Calculateur!$B$58-IF(Hypotheses!$B$100="proportionnel",MAX(0,($A74*Calculateur!$B$56+$A74*G$65*Calculateur!$B$57)-Hypotheses!$B$97)/Hypotheses!$B$99,ROUNDUP(MAX(0,($A74*Calculateur!$B$56+$A74*G$65*Calculateur!$B$57)-Hypotheses!$B$97)/Hypotheses!$B$99,0))*Hypotheses!$B$101)*12),Hypotheses!$A$56)*Hypotheses!$B$56+MAX(0,MIN(MAX(0,($A74*G$65*Calculateur!$B$54-Calculateur!$B$58-IF(Hypotheses!$B$100="proportionnel",MAX(0,($A74*Calculateur!$B$56+$A74*G$65*Calculateur!$B$57)-Hypotheses!$B$97)/Hypotheses!$B$99,ROUNDUP(MAX(0,($A74*Calculateur!$B$56+$A74*G$65*Calculateur!$B$57)-Hypotheses!$B$97)/Hypotheses!$B$99,0))*Hypotheses!$B$101)*12),Hypotheses!$A$57)-Hypotheses!$A$56)*Hypotheses!$B$57+MAX(0,MIN(MAX(0,($A74*G$65*Calculateur!$B$54-Calculateur!$B$58-IF(Hypotheses!$B$100="proportionnel",MAX(0,($A74*Calculateur!$B$56+$A74*G$65*Calculateur!$B$57)-Hypotheses!$B$97)/Hypotheses!$B$99,ROUNDUP(MAX(0,($A74*Calculateur!$B$56+$A74*G$65*Calculateur!$B$57)-Hypotheses!$B$97)/Hypotheses!$B$99,0))*Hypotheses!$B$101)*12),Hypotheses!$A$58)-Hypotheses!$A$57)*Hypotheses!$B$58+MAX(0,MAX(0,($A74*G$65*Calculateur!$B$54-Calculateur!$B$58-IF(Hypotheses!$B$100="proportionnel",MAX(0,($A74*Calculateur!$B$56+$A74*G$65*Calculateur!$B$57)-Hypotheses!$B$97)/Hypotheses!$B$99,ROUNDUP(MAX(0,($A74*Calculateur!$B$56+$A74*G$65*Calculateur!$B$57)-Hypotheses!$B$97)/Hypotheses!$B$99,0))*Hypotheses!$B$101)*12)-Hypotheses!$A$58)*Hypotheses!$B$59)*(1+Hypotheses!$B$60)*(1-Hypotheses!$B$61)/12)-MAX(0,(($A74*G$65*Calculateur!$B$54-Calculateur!$B$58-IF(Hypotheses!$B$100="proportionnel",MAX(0,($A74*Calculateur!$B$56+$A74*G$65*Calculateur!$B$57)-Hypotheses!$B$97)/Hypotheses!$B$99,ROUNDUP(MAX(0,($A74*Calculateur!$B$56+$A74*G$65*Calculateur!$B$57)-Hypotheses!$B$97)/Hypotheses!$B$99,0))*Hypotheses!$B$101)-(MIN(MAX(0,($A74*G$65*Calculateur!$B$54-Calculateur!$B$58-IF(Hypotheses!$B$100="proportionnel",MAX(0,($A74*Calculateur!$B$56+$A74*G$65*Calculateur!$B$57)-Hypotheses!$B$97)/Hypotheses!$B$99,ROUNDUP(MAX(0,($A74*Calculateur!$B$56+$A74*G$65*Calculateur!$B$57)-Hypotheses!$B$97)/Hypotheses!$B$99,0))*Hypotheses!$B$101)*12),Hypotheses!$A$56)*Hypotheses!$B$56+MAX(0,MIN(MAX(0,($A74*G$65*Calculateur!$B$54-Calculateur!$B$58-IF(Hypotheses!$B$100="proportionnel",MAX(0,($A74*Calculateur!$B$56+$A74*G$65*Calculateur!$B$57)-Hypotheses!$B$97)/Hypotheses!$B$99,ROUNDUP(MAX(0,($A74*Calculateur!$B$56+$A74*G$65*Calculateur!$B$57)-Hypotheses!$B$97)/Hypotheses!$B$99,0))*Hypotheses!$B$101)*12),Hypotheses!$A$57)-Hypotheses!$A$56)*Hypotheses!$B$57+MAX(0,MIN(MAX(0,($A74*G$65*Calculateur!$B$54-Calculateur!$B$58-IF(Hypotheses!$B$100="proportionnel",MAX(0,($A74*Calculateur!$B$56+$A74*G$65*Calculateur!$B$57)-Hypotheses!$B$97)/Hypotheses!$B$99,ROUNDUP(MAX(0,($A74*Calculateur!$B$56+$A74*G$65*Calculateur!$B$57)-Hypotheses!$B$97)/Hypotheses!$B$99,0))*Hypotheses!$B$101)*12),Hypotheses!$A$58)-Hypotheses!$A$57)*Hypotheses!$B$58+MAX(0,MAX(0,($A74*G$65*Calculateur!$B$54-Calculateur!$B$58-IF(Hypotheses!$B$100="proportionnel",MAX(0,($A74*Calculateur!$B$56+$A74*G$65*Calculateur!$B$57)-Hypotheses!$B$97)/Hypotheses!$B$99,ROUNDUP(MAX(0,($A74*Calculateur!$B$56+$A74*G$65*Calculateur!$B$57)-Hypotheses!$B$97)/Hypotheses!$B$99,0))*Hypotheses!$B$101)*12)-Hypotheses!$A$58)*Hypotheses!$B$59)*(1+Hypotheses!$B$60)*(1-Hypotheses!$B$61)/12))*Hypotheses!$B$65</f>
        <v/>
      </c>
      <c r="H74" s="21">
        <f>(($A74*H$65*Calculateur!$B$54-Calculateur!$B$58-IF(Hypotheses!$B$100="proportionnel",MAX(0,($A74*Calculateur!$B$56+$A74*H$65*Calculateur!$B$57)-Hypotheses!$B$97)/Hypotheses!$B$99,ROUNDUP(MAX(0,($A74*Calculateur!$B$56+$A74*H$65*Calculateur!$B$57)-Hypotheses!$B$97)/Hypotheses!$B$99,0))*Hypotheses!$B$101)-(MIN(MAX(0,($A74*H$65*Calculateur!$B$54-Calculateur!$B$58-IF(Hypotheses!$B$100="proportionnel",MAX(0,($A74*Calculateur!$B$56+$A74*H$65*Calculateur!$B$57)-Hypotheses!$B$97)/Hypotheses!$B$99,ROUNDUP(MAX(0,($A74*Calculateur!$B$56+$A74*H$65*Calculateur!$B$57)-Hypotheses!$B$97)/Hypotheses!$B$99,0))*Hypotheses!$B$101)*12),Hypotheses!$A$56)*Hypotheses!$B$56+MAX(0,MIN(MAX(0,($A74*H$65*Calculateur!$B$54-Calculateur!$B$58-IF(Hypotheses!$B$100="proportionnel",MAX(0,($A74*Calculateur!$B$56+$A74*H$65*Calculateur!$B$57)-Hypotheses!$B$97)/Hypotheses!$B$99,ROUNDUP(MAX(0,($A74*Calculateur!$B$56+$A74*H$65*Calculateur!$B$57)-Hypotheses!$B$97)/Hypotheses!$B$99,0))*Hypotheses!$B$101)*12),Hypotheses!$A$57)-Hypotheses!$A$56)*Hypotheses!$B$57+MAX(0,MIN(MAX(0,($A74*H$65*Calculateur!$B$54-Calculateur!$B$58-IF(Hypotheses!$B$100="proportionnel",MAX(0,($A74*Calculateur!$B$56+$A74*H$65*Calculateur!$B$57)-Hypotheses!$B$97)/Hypotheses!$B$99,ROUNDUP(MAX(0,($A74*Calculateur!$B$56+$A74*H$65*Calculateur!$B$57)-Hypotheses!$B$97)/Hypotheses!$B$99,0))*Hypotheses!$B$101)*12),Hypotheses!$A$58)-Hypotheses!$A$57)*Hypotheses!$B$58+MAX(0,MAX(0,($A74*H$65*Calculateur!$B$54-Calculateur!$B$58-IF(Hypotheses!$B$100="proportionnel",MAX(0,($A74*Calculateur!$B$56+$A74*H$65*Calculateur!$B$57)-Hypotheses!$B$97)/Hypotheses!$B$99,ROUNDUP(MAX(0,($A74*Calculateur!$B$56+$A74*H$65*Calculateur!$B$57)-Hypotheses!$B$97)/Hypotheses!$B$99,0))*Hypotheses!$B$101)*12)-Hypotheses!$A$58)*Hypotheses!$B$59)*(1+Hypotheses!$B$60)*(1-Hypotheses!$B$61)/12)-MAX(0,(($A74*H$65*Calculateur!$B$54-Calculateur!$B$58-IF(Hypotheses!$B$100="proportionnel",MAX(0,($A74*Calculateur!$B$56+$A74*H$65*Calculateur!$B$57)-Hypotheses!$B$97)/Hypotheses!$B$99,ROUNDUP(MAX(0,($A74*Calculateur!$B$56+$A74*H$65*Calculateur!$B$57)-Hypotheses!$B$97)/Hypotheses!$B$99,0))*Hypotheses!$B$101)-(MIN(MAX(0,($A74*H$65*Calculateur!$B$54-Calculateur!$B$58-IF(Hypotheses!$B$100="proportionnel",MAX(0,($A74*Calculateur!$B$56+$A74*H$65*Calculateur!$B$57)-Hypotheses!$B$97)/Hypotheses!$B$99,ROUNDUP(MAX(0,($A74*Calculateur!$B$56+$A74*H$65*Calculateur!$B$57)-Hypotheses!$B$97)/Hypotheses!$B$99,0))*Hypotheses!$B$101)*12),Hypotheses!$A$56)*Hypotheses!$B$56+MAX(0,MIN(MAX(0,($A74*H$65*Calculateur!$B$54-Calculateur!$B$58-IF(Hypotheses!$B$100="proportionnel",MAX(0,($A74*Calculateur!$B$56+$A74*H$65*Calculateur!$B$57)-Hypotheses!$B$97)/Hypotheses!$B$99,ROUNDUP(MAX(0,($A74*Calculateur!$B$56+$A74*H$65*Calculateur!$B$57)-Hypotheses!$B$97)/Hypotheses!$B$99,0))*Hypotheses!$B$101)*12),Hypotheses!$A$57)-Hypotheses!$A$56)*Hypotheses!$B$57+MAX(0,MIN(MAX(0,($A74*H$65*Calculateur!$B$54-Calculateur!$B$58-IF(Hypotheses!$B$100="proportionnel",MAX(0,($A74*Calculateur!$B$56+$A74*H$65*Calculateur!$B$57)-Hypotheses!$B$97)/Hypotheses!$B$99,ROUNDUP(MAX(0,($A74*Calculateur!$B$56+$A74*H$65*Calculateur!$B$57)-Hypotheses!$B$97)/Hypotheses!$B$99,0))*Hypotheses!$B$101)*12),Hypotheses!$A$58)-Hypotheses!$A$57)*Hypotheses!$B$58+MAX(0,MAX(0,($A74*H$65*Calculateur!$B$54-Calculateur!$B$58-IF(Hypotheses!$B$100="proportionnel",MAX(0,($A74*Calculateur!$B$56+$A74*H$65*Calculateur!$B$57)-Hypotheses!$B$97)/Hypotheses!$B$99,ROUNDUP(MAX(0,($A74*Calculateur!$B$56+$A74*H$65*Calculateur!$B$57)-Hypotheses!$B$97)/Hypotheses!$B$99,0))*Hypotheses!$B$101)*12)-Hypotheses!$A$58)*Hypotheses!$B$59)*(1+Hypotheses!$B$60)*(1-Hypotheses!$B$61)/12))*Hypotheses!$B$65</f>
        <v/>
      </c>
      <c r="I74" s="21">
        <f>(($A74*I$65*Calculateur!$B$54-Calculateur!$B$58-IF(Hypotheses!$B$100="proportionnel",MAX(0,($A74*Calculateur!$B$56+$A74*I$65*Calculateur!$B$57)-Hypotheses!$B$97)/Hypotheses!$B$99,ROUNDUP(MAX(0,($A74*Calculateur!$B$56+$A74*I$65*Calculateur!$B$57)-Hypotheses!$B$97)/Hypotheses!$B$99,0))*Hypotheses!$B$101)-(MIN(MAX(0,($A74*I$65*Calculateur!$B$54-Calculateur!$B$58-IF(Hypotheses!$B$100="proportionnel",MAX(0,($A74*Calculateur!$B$56+$A74*I$65*Calculateur!$B$57)-Hypotheses!$B$97)/Hypotheses!$B$99,ROUNDUP(MAX(0,($A74*Calculateur!$B$56+$A74*I$65*Calculateur!$B$57)-Hypotheses!$B$97)/Hypotheses!$B$99,0))*Hypotheses!$B$101)*12),Hypotheses!$A$56)*Hypotheses!$B$56+MAX(0,MIN(MAX(0,($A74*I$65*Calculateur!$B$54-Calculateur!$B$58-IF(Hypotheses!$B$100="proportionnel",MAX(0,($A74*Calculateur!$B$56+$A74*I$65*Calculateur!$B$57)-Hypotheses!$B$97)/Hypotheses!$B$99,ROUNDUP(MAX(0,($A74*Calculateur!$B$56+$A74*I$65*Calculateur!$B$57)-Hypotheses!$B$97)/Hypotheses!$B$99,0))*Hypotheses!$B$101)*12),Hypotheses!$A$57)-Hypotheses!$A$56)*Hypotheses!$B$57+MAX(0,MIN(MAX(0,($A74*I$65*Calculateur!$B$54-Calculateur!$B$58-IF(Hypotheses!$B$100="proportionnel",MAX(0,($A74*Calculateur!$B$56+$A74*I$65*Calculateur!$B$57)-Hypotheses!$B$97)/Hypotheses!$B$99,ROUNDUP(MAX(0,($A74*Calculateur!$B$56+$A74*I$65*Calculateur!$B$57)-Hypotheses!$B$97)/Hypotheses!$B$99,0))*Hypotheses!$B$101)*12),Hypotheses!$A$58)-Hypotheses!$A$57)*Hypotheses!$B$58+MAX(0,MAX(0,($A74*I$65*Calculateur!$B$54-Calculateur!$B$58-IF(Hypotheses!$B$100="proportionnel",MAX(0,($A74*Calculateur!$B$56+$A74*I$65*Calculateur!$B$57)-Hypotheses!$B$97)/Hypotheses!$B$99,ROUNDUP(MAX(0,($A74*Calculateur!$B$56+$A74*I$65*Calculateur!$B$57)-Hypotheses!$B$97)/Hypotheses!$B$99,0))*Hypotheses!$B$101)*12)-Hypotheses!$A$58)*Hypotheses!$B$59)*(1+Hypotheses!$B$60)*(1-Hypotheses!$B$61)/12)-MAX(0,(($A74*I$65*Calculateur!$B$54-Calculateur!$B$58-IF(Hypotheses!$B$100="proportionnel",MAX(0,($A74*Calculateur!$B$56+$A74*I$65*Calculateur!$B$57)-Hypotheses!$B$97)/Hypotheses!$B$99,ROUNDUP(MAX(0,($A74*Calculateur!$B$56+$A74*I$65*Calculateur!$B$57)-Hypotheses!$B$97)/Hypotheses!$B$99,0))*Hypotheses!$B$101)-(MIN(MAX(0,($A74*I$65*Calculateur!$B$54-Calculateur!$B$58-IF(Hypotheses!$B$100="proportionnel",MAX(0,($A74*Calculateur!$B$56+$A74*I$65*Calculateur!$B$57)-Hypotheses!$B$97)/Hypotheses!$B$99,ROUNDUP(MAX(0,($A74*Calculateur!$B$56+$A74*I$65*Calculateur!$B$57)-Hypotheses!$B$97)/Hypotheses!$B$99,0))*Hypotheses!$B$101)*12),Hypotheses!$A$56)*Hypotheses!$B$56+MAX(0,MIN(MAX(0,($A74*I$65*Calculateur!$B$54-Calculateur!$B$58-IF(Hypotheses!$B$100="proportionnel",MAX(0,($A74*Calculateur!$B$56+$A74*I$65*Calculateur!$B$57)-Hypotheses!$B$97)/Hypotheses!$B$99,ROUNDUP(MAX(0,($A74*Calculateur!$B$56+$A74*I$65*Calculateur!$B$57)-Hypotheses!$B$97)/Hypotheses!$B$99,0))*Hypotheses!$B$101)*12),Hypotheses!$A$57)-Hypotheses!$A$56)*Hypotheses!$B$57+MAX(0,MIN(MAX(0,($A74*I$65*Calculateur!$B$54-Calculateur!$B$58-IF(Hypotheses!$B$100="proportionnel",MAX(0,($A74*Calculateur!$B$56+$A74*I$65*Calculateur!$B$57)-Hypotheses!$B$97)/Hypotheses!$B$99,ROUNDUP(MAX(0,($A74*Calculateur!$B$56+$A74*I$65*Calculateur!$B$57)-Hypotheses!$B$97)/Hypotheses!$B$99,0))*Hypotheses!$B$101)*12),Hypotheses!$A$58)-Hypotheses!$A$57)*Hypotheses!$B$58+MAX(0,MAX(0,($A74*I$65*Calculateur!$B$54-Calculateur!$B$58-IF(Hypotheses!$B$100="proportionnel",MAX(0,($A74*Calculateur!$B$56+$A74*I$65*Calculateur!$B$57)-Hypotheses!$B$97)/Hypotheses!$B$99,ROUNDUP(MAX(0,($A74*Calculateur!$B$56+$A74*I$65*Calculateur!$B$57)-Hypotheses!$B$97)/Hypotheses!$B$99,0))*Hypotheses!$B$101)*12)-Hypotheses!$A$58)*Hypotheses!$B$59)*(1+Hypotheses!$B$60)*(1-Hypotheses!$B$61)/12))*Hypotheses!$B$65</f>
        <v/>
      </c>
    </row>
    <row r="75">
      <c r="A75" s="36" t="n">
        <v>100</v>
      </c>
      <c r="B75" s="21">
        <f>(($A75*B$65*Calculateur!$B$54-Calculateur!$B$58-IF(Hypotheses!$B$100="proportionnel",MAX(0,($A75*Calculateur!$B$56+$A75*B$65*Calculateur!$B$57)-Hypotheses!$B$97)/Hypotheses!$B$99,ROUNDUP(MAX(0,($A75*Calculateur!$B$56+$A75*B$65*Calculateur!$B$57)-Hypotheses!$B$97)/Hypotheses!$B$99,0))*Hypotheses!$B$101)-(MIN(MAX(0,($A75*B$65*Calculateur!$B$54-Calculateur!$B$58-IF(Hypotheses!$B$100="proportionnel",MAX(0,($A75*Calculateur!$B$56+$A75*B$65*Calculateur!$B$57)-Hypotheses!$B$97)/Hypotheses!$B$99,ROUNDUP(MAX(0,($A75*Calculateur!$B$56+$A75*B$65*Calculateur!$B$57)-Hypotheses!$B$97)/Hypotheses!$B$99,0))*Hypotheses!$B$101)*12),Hypotheses!$A$56)*Hypotheses!$B$56+MAX(0,MIN(MAX(0,($A75*B$65*Calculateur!$B$54-Calculateur!$B$58-IF(Hypotheses!$B$100="proportionnel",MAX(0,($A75*Calculateur!$B$56+$A75*B$65*Calculateur!$B$57)-Hypotheses!$B$97)/Hypotheses!$B$99,ROUNDUP(MAX(0,($A75*Calculateur!$B$56+$A75*B$65*Calculateur!$B$57)-Hypotheses!$B$97)/Hypotheses!$B$99,0))*Hypotheses!$B$101)*12),Hypotheses!$A$57)-Hypotheses!$A$56)*Hypotheses!$B$57+MAX(0,MIN(MAX(0,($A75*B$65*Calculateur!$B$54-Calculateur!$B$58-IF(Hypotheses!$B$100="proportionnel",MAX(0,($A75*Calculateur!$B$56+$A75*B$65*Calculateur!$B$57)-Hypotheses!$B$97)/Hypotheses!$B$99,ROUNDUP(MAX(0,($A75*Calculateur!$B$56+$A75*B$65*Calculateur!$B$57)-Hypotheses!$B$97)/Hypotheses!$B$99,0))*Hypotheses!$B$101)*12),Hypotheses!$A$58)-Hypotheses!$A$57)*Hypotheses!$B$58+MAX(0,MAX(0,($A75*B$65*Calculateur!$B$54-Calculateur!$B$58-IF(Hypotheses!$B$100="proportionnel",MAX(0,($A75*Calculateur!$B$56+$A75*B$65*Calculateur!$B$57)-Hypotheses!$B$97)/Hypotheses!$B$99,ROUNDUP(MAX(0,($A75*Calculateur!$B$56+$A75*B$65*Calculateur!$B$57)-Hypotheses!$B$97)/Hypotheses!$B$99,0))*Hypotheses!$B$101)*12)-Hypotheses!$A$58)*Hypotheses!$B$59)*(1+Hypotheses!$B$60)*(1-Hypotheses!$B$61)/12)-MAX(0,(($A75*B$65*Calculateur!$B$54-Calculateur!$B$58-IF(Hypotheses!$B$100="proportionnel",MAX(0,($A75*Calculateur!$B$56+$A75*B$65*Calculateur!$B$57)-Hypotheses!$B$97)/Hypotheses!$B$99,ROUNDUP(MAX(0,($A75*Calculateur!$B$56+$A75*B$65*Calculateur!$B$57)-Hypotheses!$B$97)/Hypotheses!$B$99,0))*Hypotheses!$B$101)-(MIN(MAX(0,($A75*B$65*Calculateur!$B$54-Calculateur!$B$58-IF(Hypotheses!$B$100="proportionnel",MAX(0,($A75*Calculateur!$B$56+$A75*B$65*Calculateur!$B$57)-Hypotheses!$B$97)/Hypotheses!$B$99,ROUNDUP(MAX(0,($A75*Calculateur!$B$56+$A75*B$65*Calculateur!$B$57)-Hypotheses!$B$97)/Hypotheses!$B$99,0))*Hypotheses!$B$101)*12),Hypotheses!$A$56)*Hypotheses!$B$56+MAX(0,MIN(MAX(0,($A75*B$65*Calculateur!$B$54-Calculateur!$B$58-IF(Hypotheses!$B$100="proportionnel",MAX(0,($A75*Calculateur!$B$56+$A75*B$65*Calculateur!$B$57)-Hypotheses!$B$97)/Hypotheses!$B$99,ROUNDUP(MAX(0,($A75*Calculateur!$B$56+$A75*B$65*Calculateur!$B$57)-Hypotheses!$B$97)/Hypotheses!$B$99,0))*Hypotheses!$B$101)*12),Hypotheses!$A$57)-Hypotheses!$A$56)*Hypotheses!$B$57+MAX(0,MIN(MAX(0,($A75*B$65*Calculateur!$B$54-Calculateur!$B$58-IF(Hypotheses!$B$100="proportionnel",MAX(0,($A75*Calculateur!$B$56+$A75*B$65*Calculateur!$B$57)-Hypotheses!$B$97)/Hypotheses!$B$99,ROUNDUP(MAX(0,($A75*Calculateur!$B$56+$A75*B$65*Calculateur!$B$57)-Hypotheses!$B$97)/Hypotheses!$B$99,0))*Hypotheses!$B$101)*12),Hypotheses!$A$58)-Hypotheses!$A$57)*Hypotheses!$B$58+MAX(0,MAX(0,($A75*B$65*Calculateur!$B$54-Calculateur!$B$58-IF(Hypotheses!$B$100="proportionnel",MAX(0,($A75*Calculateur!$B$56+$A75*B$65*Calculateur!$B$57)-Hypotheses!$B$97)/Hypotheses!$B$99,ROUNDUP(MAX(0,($A75*Calculateur!$B$56+$A75*B$65*Calculateur!$B$57)-Hypotheses!$B$97)/Hypotheses!$B$99,0))*Hypotheses!$B$101)*12)-Hypotheses!$A$58)*Hypotheses!$B$59)*(1+Hypotheses!$B$60)*(1-Hypotheses!$B$61)/12))*Hypotheses!$B$65</f>
        <v/>
      </c>
      <c r="C75" s="21">
        <f>(($A75*C$65*Calculateur!$B$54-Calculateur!$B$58-IF(Hypotheses!$B$100="proportionnel",MAX(0,($A75*Calculateur!$B$56+$A75*C$65*Calculateur!$B$57)-Hypotheses!$B$97)/Hypotheses!$B$99,ROUNDUP(MAX(0,($A75*Calculateur!$B$56+$A75*C$65*Calculateur!$B$57)-Hypotheses!$B$97)/Hypotheses!$B$99,0))*Hypotheses!$B$101)-(MIN(MAX(0,($A75*C$65*Calculateur!$B$54-Calculateur!$B$58-IF(Hypotheses!$B$100="proportionnel",MAX(0,($A75*Calculateur!$B$56+$A75*C$65*Calculateur!$B$57)-Hypotheses!$B$97)/Hypotheses!$B$99,ROUNDUP(MAX(0,($A75*Calculateur!$B$56+$A75*C$65*Calculateur!$B$57)-Hypotheses!$B$97)/Hypotheses!$B$99,0))*Hypotheses!$B$101)*12),Hypotheses!$A$56)*Hypotheses!$B$56+MAX(0,MIN(MAX(0,($A75*C$65*Calculateur!$B$54-Calculateur!$B$58-IF(Hypotheses!$B$100="proportionnel",MAX(0,($A75*Calculateur!$B$56+$A75*C$65*Calculateur!$B$57)-Hypotheses!$B$97)/Hypotheses!$B$99,ROUNDUP(MAX(0,($A75*Calculateur!$B$56+$A75*C$65*Calculateur!$B$57)-Hypotheses!$B$97)/Hypotheses!$B$99,0))*Hypotheses!$B$101)*12),Hypotheses!$A$57)-Hypotheses!$A$56)*Hypotheses!$B$57+MAX(0,MIN(MAX(0,($A75*C$65*Calculateur!$B$54-Calculateur!$B$58-IF(Hypotheses!$B$100="proportionnel",MAX(0,($A75*Calculateur!$B$56+$A75*C$65*Calculateur!$B$57)-Hypotheses!$B$97)/Hypotheses!$B$99,ROUNDUP(MAX(0,($A75*Calculateur!$B$56+$A75*C$65*Calculateur!$B$57)-Hypotheses!$B$97)/Hypotheses!$B$99,0))*Hypotheses!$B$101)*12),Hypotheses!$A$58)-Hypotheses!$A$57)*Hypotheses!$B$58+MAX(0,MAX(0,($A75*C$65*Calculateur!$B$54-Calculateur!$B$58-IF(Hypotheses!$B$100="proportionnel",MAX(0,($A75*Calculateur!$B$56+$A75*C$65*Calculateur!$B$57)-Hypotheses!$B$97)/Hypotheses!$B$99,ROUNDUP(MAX(0,($A75*Calculateur!$B$56+$A75*C$65*Calculateur!$B$57)-Hypotheses!$B$97)/Hypotheses!$B$99,0))*Hypotheses!$B$101)*12)-Hypotheses!$A$58)*Hypotheses!$B$59)*(1+Hypotheses!$B$60)*(1-Hypotheses!$B$61)/12)-MAX(0,(($A75*C$65*Calculateur!$B$54-Calculateur!$B$58-IF(Hypotheses!$B$100="proportionnel",MAX(0,($A75*Calculateur!$B$56+$A75*C$65*Calculateur!$B$57)-Hypotheses!$B$97)/Hypotheses!$B$99,ROUNDUP(MAX(0,($A75*Calculateur!$B$56+$A75*C$65*Calculateur!$B$57)-Hypotheses!$B$97)/Hypotheses!$B$99,0))*Hypotheses!$B$101)-(MIN(MAX(0,($A75*C$65*Calculateur!$B$54-Calculateur!$B$58-IF(Hypotheses!$B$100="proportionnel",MAX(0,($A75*Calculateur!$B$56+$A75*C$65*Calculateur!$B$57)-Hypotheses!$B$97)/Hypotheses!$B$99,ROUNDUP(MAX(0,($A75*Calculateur!$B$56+$A75*C$65*Calculateur!$B$57)-Hypotheses!$B$97)/Hypotheses!$B$99,0))*Hypotheses!$B$101)*12),Hypotheses!$A$56)*Hypotheses!$B$56+MAX(0,MIN(MAX(0,($A75*C$65*Calculateur!$B$54-Calculateur!$B$58-IF(Hypotheses!$B$100="proportionnel",MAX(0,($A75*Calculateur!$B$56+$A75*C$65*Calculateur!$B$57)-Hypotheses!$B$97)/Hypotheses!$B$99,ROUNDUP(MAX(0,($A75*Calculateur!$B$56+$A75*C$65*Calculateur!$B$57)-Hypotheses!$B$97)/Hypotheses!$B$99,0))*Hypotheses!$B$101)*12),Hypotheses!$A$57)-Hypotheses!$A$56)*Hypotheses!$B$57+MAX(0,MIN(MAX(0,($A75*C$65*Calculateur!$B$54-Calculateur!$B$58-IF(Hypotheses!$B$100="proportionnel",MAX(0,($A75*Calculateur!$B$56+$A75*C$65*Calculateur!$B$57)-Hypotheses!$B$97)/Hypotheses!$B$99,ROUNDUP(MAX(0,($A75*Calculateur!$B$56+$A75*C$65*Calculateur!$B$57)-Hypotheses!$B$97)/Hypotheses!$B$99,0))*Hypotheses!$B$101)*12),Hypotheses!$A$58)-Hypotheses!$A$57)*Hypotheses!$B$58+MAX(0,MAX(0,($A75*C$65*Calculateur!$B$54-Calculateur!$B$58-IF(Hypotheses!$B$100="proportionnel",MAX(0,($A75*Calculateur!$B$56+$A75*C$65*Calculateur!$B$57)-Hypotheses!$B$97)/Hypotheses!$B$99,ROUNDUP(MAX(0,($A75*Calculateur!$B$56+$A75*C$65*Calculateur!$B$57)-Hypotheses!$B$97)/Hypotheses!$B$99,0))*Hypotheses!$B$101)*12)-Hypotheses!$A$58)*Hypotheses!$B$59)*(1+Hypotheses!$B$60)*(1-Hypotheses!$B$61)/12))*Hypotheses!$B$65</f>
        <v/>
      </c>
      <c r="D75" s="21">
        <f>(($A75*D$65*Calculateur!$B$54-Calculateur!$B$58-IF(Hypotheses!$B$100="proportionnel",MAX(0,($A75*Calculateur!$B$56+$A75*D$65*Calculateur!$B$57)-Hypotheses!$B$97)/Hypotheses!$B$99,ROUNDUP(MAX(0,($A75*Calculateur!$B$56+$A75*D$65*Calculateur!$B$57)-Hypotheses!$B$97)/Hypotheses!$B$99,0))*Hypotheses!$B$101)-(MIN(MAX(0,($A75*D$65*Calculateur!$B$54-Calculateur!$B$58-IF(Hypotheses!$B$100="proportionnel",MAX(0,($A75*Calculateur!$B$56+$A75*D$65*Calculateur!$B$57)-Hypotheses!$B$97)/Hypotheses!$B$99,ROUNDUP(MAX(0,($A75*Calculateur!$B$56+$A75*D$65*Calculateur!$B$57)-Hypotheses!$B$97)/Hypotheses!$B$99,0))*Hypotheses!$B$101)*12),Hypotheses!$A$56)*Hypotheses!$B$56+MAX(0,MIN(MAX(0,($A75*D$65*Calculateur!$B$54-Calculateur!$B$58-IF(Hypotheses!$B$100="proportionnel",MAX(0,($A75*Calculateur!$B$56+$A75*D$65*Calculateur!$B$57)-Hypotheses!$B$97)/Hypotheses!$B$99,ROUNDUP(MAX(0,($A75*Calculateur!$B$56+$A75*D$65*Calculateur!$B$57)-Hypotheses!$B$97)/Hypotheses!$B$99,0))*Hypotheses!$B$101)*12),Hypotheses!$A$57)-Hypotheses!$A$56)*Hypotheses!$B$57+MAX(0,MIN(MAX(0,($A75*D$65*Calculateur!$B$54-Calculateur!$B$58-IF(Hypotheses!$B$100="proportionnel",MAX(0,($A75*Calculateur!$B$56+$A75*D$65*Calculateur!$B$57)-Hypotheses!$B$97)/Hypotheses!$B$99,ROUNDUP(MAX(0,($A75*Calculateur!$B$56+$A75*D$65*Calculateur!$B$57)-Hypotheses!$B$97)/Hypotheses!$B$99,0))*Hypotheses!$B$101)*12),Hypotheses!$A$58)-Hypotheses!$A$57)*Hypotheses!$B$58+MAX(0,MAX(0,($A75*D$65*Calculateur!$B$54-Calculateur!$B$58-IF(Hypotheses!$B$100="proportionnel",MAX(0,($A75*Calculateur!$B$56+$A75*D$65*Calculateur!$B$57)-Hypotheses!$B$97)/Hypotheses!$B$99,ROUNDUP(MAX(0,($A75*Calculateur!$B$56+$A75*D$65*Calculateur!$B$57)-Hypotheses!$B$97)/Hypotheses!$B$99,0))*Hypotheses!$B$101)*12)-Hypotheses!$A$58)*Hypotheses!$B$59)*(1+Hypotheses!$B$60)*(1-Hypotheses!$B$61)/12)-MAX(0,(($A75*D$65*Calculateur!$B$54-Calculateur!$B$58-IF(Hypotheses!$B$100="proportionnel",MAX(0,($A75*Calculateur!$B$56+$A75*D$65*Calculateur!$B$57)-Hypotheses!$B$97)/Hypotheses!$B$99,ROUNDUP(MAX(0,($A75*Calculateur!$B$56+$A75*D$65*Calculateur!$B$57)-Hypotheses!$B$97)/Hypotheses!$B$99,0))*Hypotheses!$B$101)-(MIN(MAX(0,($A75*D$65*Calculateur!$B$54-Calculateur!$B$58-IF(Hypotheses!$B$100="proportionnel",MAX(0,($A75*Calculateur!$B$56+$A75*D$65*Calculateur!$B$57)-Hypotheses!$B$97)/Hypotheses!$B$99,ROUNDUP(MAX(0,($A75*Calculateur!$B$56+$A75*D$65*Calculateur!$B$57)-Hypotheses!$B$97)/Hypotheses!$B$99,0))*Hypotheses!$B$101)*12),Hypotheses!$A$56)*Hypotheses!$B$56+MAX(0,MIN(MAX(0,($A75*D$65*Calculateur!$B$54-Calculateur!$B$58-IF(Hypotheses!$B$100="proportionnel",MAX(0,($A75*Calculateur!$B$56+$A75*D$65*Calculateur!$B$57)-Hypotheses!$B$97)/Hypotheses!$B$99,ROUNDUP(MAX(0,($A75*Calculateur!$B$56+$A75*D$65*Calculateur!$B$57)-Hypotheses!$B$97)/Hypotheses!$B$99,0))*Hypotheses!$B$101)*12),Hypotheses!$A$57)-Hypotheses!$A$56)*Hypotheses!$B$57+MAX(0,MIN(MAX(0,($A75*D$65*Calculateur!$B$54-Calculateur!$B$58-IF(Hypotheses!$B$100="proportionnel",MAX(0,($A75*Calculateur!$B$56+$A75*D$65*Calculateur!$B$57)-Hypotheses!$B$97)/Hypotheses!$B$99,ROUNDUP(MAX(0,($A75*Calculateur!$B$56+$A75*D$65*Calculateur!$B$57)-Hypotheses!$B$97)/Hypotheses!$B$99,0))*Hypotheses!$B$101)*12),Hypotheses!$A$58)-Hypotheses!$A$57)*Hypotheses!$B$58+MAX(0,MAX(0,($A75*D$65*Calculateur!$B$54-Calculateur!$B$58-IF(Hypotheses!$B$100="proportionnel",MAX(0,($A75*Calculateur!$B$56+$A75*D$65*Calculateur!$B$57)-Hypotheses!$B$97)/Hypotheses!$B$99,ROUNDUP(MAX(0,($A75*Calculateur!$B$56+$A75*D$65*Calculateur!$B$57)-Hypotheses!$B$97)/Hypotheses!$B$99,0))*Hypotheses!$B$101)*12)-Hypotheses!$A$58)*Hypotheses!$B$59)*(1+Hypotheses!$B$60)*(1-Hypotheses!$B$61)/12))*Hypotheses!$B$65</f>
        <v/>
      </c>
      <c r="E75" s="21">
        <f>(($A75*E$65*Calculateur!$B$54-Calculateur!$B$58-IF(Hypotheses!$B$100="proportionnel",MAX(0,($A75*Calculateur!$B$56+$A75*E$65*Calculateur!$B$57)-Hypotheses!$B$97)/Hypotheses!$B$99,ROUNDUP(MAX(0,($A75*Calculateur!$B$56+$A75*E$65*Calculateur!$B$57)-Hypotheses!$B$97)/Hypotheses!$B$99,0))*Hypotheses!$B$101)-(MIN(MAX(0,($A75*E$65*Calculateur!$B$54-Calculateur!$B$58-IF(Hypotheses!$B$100="proportionnel",MAX(0,($A75*Calculateur!$B$56+$A75*E$65*Calculateur!$B$57)-Hypotheses!$B$97)/Hypotheses!$B$99,ROUNDUP(MAX(0,($A75*Calculateur!$B$56+$A75*E$65*Calculateur!$B$57)-Hypotheses!$B$97)/Hypotheses!$B$99,0))*Hypotheses!$B$101)*12),Hypotheses!$A$56)*Hypotheses!$B$56+MAX(0,MIN(MAX(0,($A75*E$65*Calculateur!$B$54-Calculateur!$B$58-IF(Hypotheses!$B$100="proportionnel",MAX(0,($A75*Calculateur!$B$56+$A75*E$65*Calculateur!$B$57)-Hypotheses!$B$97)/Hypotheses!$B$99,ROUNDUP(MAX(0,($A75*Calculateur!$B$56+$A75*E$65*Calculateur!$B$57)-Hypotheses!$B$97)/Hypotheses!$B$99,0))*Hypotheses!$B$101)*12),Hypotheses!$A$57)-Hypotheses!$A$56)*Hypotheses!$B$57+MAX(0,MIN(MAX(0,($A75*E$65*Calculateur!$B$54-Calculateur!$B$58-IF(Hypotheses!$B$100="proportionnel",MAX(0,($A75*Calculateur!$B$56+$A75*E$65*Calculateur!$B$57)-Hypotheses!$B$97)/Hypotheses!$B$99,ROUNDUP(MAX(0,($A75*Calculateur!$B$56+$A75*E$65*Calculateur!$B$57)-Hypotheses!$B$97)/Hypotheses!$B$99,0))*Hypotheses!$B$101)*12),Hypotheses!$A$58)-Hypotheses!$A$57)*Hypotheses!$B$58+MAX(0,MAX(0,($A75*E$65*Calculateur!$B$54-Calculateur!$B$58-IF(Hypotheses!$B$100="proportionnel",MAX(0,($A75*Calculateur!$B$56+$A75*E$65*Calculateur!$B$57)-Hypotheses!$B$97)/Hypotheses!$B$99,ROUNDUP(MAX(0,($A75*Calculateur!$B$56+$A75*E$65*Calculateur!$B$57)-Hypotheses!$B$97)/Hypotheses!$B$99,0))*Hypotheses!$B$101)*12)-Hypotheses!$A$58)*Hypotheses!$B$59)*(1+Hypotheses!$B$60)*(1-Hypotheses!$B$61)/12)-MAX(0,(($A75*E$65*Calculateur!$B$54-Calculateur!$B$58-IF(Hypotheses!$B$100="proportionnel",MAX(0,($A75*Calculateur!$B$56+$A75*E$65*Calculateur!$B$57)-Hypotheses!$B$97)/Hypotheses!$B$99,ROUNDUP(MAX(0,($A75*Calculateur!$B$56+$A75*E$65*Calculateur!$B$57)-Hypotheses!$B$97)/Hypotheses!$B$99,0))*Hypotheses!$B$101)-(MIN(MAX(0,($A75*E$65*Calculateur!$B$54-Calculateur!$B$58-IF(Hypotheses!$B$100="proportionnel",MAX(0,($A75*Calculateur!$B$56+$A75*E$65*Calculateur!$B$57)-Hypotheses!$B$97)/Hypotheses!$B$99,ROUNDUP(MAX(0,($A75*Calculateur!$B$56+$A75*E$65*Calculateur!$B$57)-Hypotheses!$B$97)/Hypotheses!$B$99,0))*Hypotheses!$B$101)*12),Hypotheses!$A$56)*Hypotheses!$B$56+MAX(0,MIN(MAX(0,($A75*E$65*Calculateur!$B$54-Calculateur!$B$58-IF(Hypotheses!$B$100="proportionnel",MAX(0,($A75*Calculateur!$B$56+$A75*E$65*Calculateur!$B$57)-Hypotheses!$B$97)/Hypotheses!$B$99,ROUNDUP(MAX(0,($A75*Calculateur!$B$56+$A75*E$65*Calculateur!$B$57)-Hypotheses!$B$97)/Hypotheses!$B$99,0))*Hypotheses!$B$101)*12),Hypotheses!$A$57)-Hypotheses!$A$56)*Hypotheses!$B$57+MAX(0,MIN(MAX(0,($A75*E$65*Calculateur!$B$54-Calculateur!$B$58-IF(Hypotheses!$B$100="proportionnel",MAX(0,($A75*Calculateur!$B$56+$A75*E$65*Calculateur!$B$57)-Hypotheses!$B$97)/Hypotheses!$B$99,ROUNDUP(MAX(0,($A75*Calculateur!$B$56+$A75*E$65*Calculateur!$B$57)-Hypotheses!$B$97)/Hypotheses!$B$99,0))*Hypotheses!$B$101)*12),Hypotheses!$A$58)-Hypotheses!$A$57)*Hypotheses!$B$58+MAX(0,MAX(0,($A75*E$65*Calculateur!$B$54-Calculateur!$B$58-IF(Hypotheses!$B$100="proportionnel",MAX(0,($A75*Calculateur!$B$56+$A75*E$65*Calculateur!$B$57)-Hypotheses!$B$97)/Hypotheses!$B$99,ROUNDUP(MAX(0,($A75*Calculateur!$B$56+$A75*E$65*Calculateur!$B$57)-Hypotheses!$B$97)/Hypotheses!$B$99,0))*Hypotheses!$B$101)*12)-Hypotheses!$A$58)*Hypotheses!$B$59)*(1+Hypotheses!$B$60)*(1-Hypotheses!$B$61)/12))*Hypotheses!$B$65</f>
        <v/>
      </c>
      <c r="F75" s="21">
        <f>(($A75*F$65*Calculateur!$B$54-Calculateur!$B$58-IF(Hypotheses!$B$100="proportionnel",MAX(0,($A75*Calculateur!$B$56+$A75*F$65*Calculateur!$B$57)-Hypotheses!$B$97)/Hypotheses!$B$99,ROUNDUP(MAX(0,($A75*Calculateur!$B$56+$A75*F$65*Calculateur!$B$57)-Hypotheses!$B$97)/Hypotheses!$B$99,0))*Hypotheses!$B$101)-(MIN(MAX(0,($A75*F$65*Calculateur!$B$54-Calculateur!$B$58-IF(Hypotheses!$B$100="proportionnel",MAX(0,($A75*Calculateur!$B$56+$A75*F$65*Calculateur!$B$57)-Hypotheses!$B$97)/Hypotheses!$B$99,ROUNDUP(MAX(0,($A75*Calculateur!$B$56+$A75*F$65*Calculateur!$B$57)-Hypotheses!$B$97)/Hypotheses!$B$99,0))*Hypotheses!$B$101)*12),Hypotheses!$A$56)*Hypotheses!$B$56+MAX(0,MIN(MAX(0,($A75*F$65*Calculateur!$B$54-Calculateur!$B$58-IF(Hypotheses!$B$100="proportionnel",MAX(0,($A75*Calculateur!$B$56+$A75*F$65*Calculateur!$B$57)-Hypotheses!$B$97)/Hypotheses!$B$99,ROUNDUP(MAX(0,($A75*Calculateur!$B$56+$A75*F$65*Calculateur!$B$57)-Hypotheses!$B$97)/Hypotheses!$B$99,0))*Hypotheses!$B$101)*12),Hypotheses!$A$57)-Hypotheses!$A$56)*Hypotheses!$B$57+MAX(0,MIN(MAX(0,($A75*F$65*Calculateur!$B$54-Calculateur!$B$58-IF(Hypotheses!$B$100="proportionnel",MAX(0,($A75*Calculateur!$B$56+$A75*F$65*Calculateur!$B$57)-Hypotheses!$B$97)/Hypotheses!$B$99,ROUNDUP(MAX(0,($A75*Calculateur!$B$56+$A75*F$65*Calculateur!$B$57)-Hypotheses!$B$97)/Hypotheses!$B$99,0))*Hypotheses!$B$101)*12),Hypotheses!$A$58)-Hypotheses!$A$57)*Hypotheses!$B$58+MAX(0,MAX(0,($A75*F$65*Calculateur!$B$54-Calculateur!$B$58-IF(Hypotheses!$B$100="proportionnel",MAX(0,($A75*Calculateur!$B$56+$A75*F$65*Calculateur!$B$57)-Hypotheses!$B$97)/Hypotheses!$B$99,ROUNDUP(MAX(0,($A75*Calculateur!$B$56+$A75*F$65*Calculateur!$B$57)-Hypotheses!$B$97)/Hypotheses!$B$99,0))*Hypotheses!$B$101)*12)-Hypotheses!$A$58)*Hypotheses!$B$59)*(1+Hypotheses!$B$60)*(1-Hypotheses!$B$61)/12)-MAX(0,(($A75*F$65*Calculateur!$B$54-Calculateur!$B$58-IF(Hypotheses!$B$100="proportionnel",MAX(0,($A75*Calculateur!$B$56+$A75*F$65*Calculateur!$B$57)-Hypotheses!$B$97)/Hypotheses!$B$99,ROUNDUP(MAX(0,($A75*Calculateur!$B$56+$A75*F$65*Calculateur!$B$57)-Hypotheses!$B$97)/Hypotheses!$B$99,0))*Hypotheses!$B$101)-(MIN(MAX(0,($A75*F$65*Calculateur!$B$54-Calculateur!$B$58-IF(Hypotheses!$B$100="proportionnel",MAX(0,($A75*Calculateur!$B$56+$A75*F$65*Calculateur!$B$57)-Hypotheses!$B$97)/Hypotheses!$B$99,ROUNDUP(MAX(0,($A75*Calculateur!$B$56+$A75*F$65*Calculateur!$B$57)-Hypotheses!$B$97)/Hypotheses!$B$99,0))*Hypotheses!$B$101)*12),Hypotheses!$A$56)*Hypotheses!$B$56+MAX(0,MIN(MAX(0,($A75*F$65*Calculateur!$B$54-Calculateur!$B$58-IF(Hypotheses!$B$100="proportionnel",MAX(0,($A75*Calculateur!$B$56+$A75*F$65*Calculateur!$B$57)-Hypotheses!$B$97)/Hypotheses!$B$99,ROUNDUP(MAX(0,($A75*Calculateur!$B$56+$A75*F$65*Calculateur!$B$57)-Hypotheses!$B$97)/Hypotheses!$B$99,0))*Hypotheses!$B$101)*12),Hypotheses!$A$57)-Hypotheses!$A$56)*Hypotheses!$B$57+MAX(0,MIN(MAX(0,($A75*F$65*Calculateur!$B$54-Calculateur!$B$58-IF(Hypotheses!$B$100="proportionnel",MAX(0,($A75*Calculateur!$B$56+$A75*F$65*Calculateur!$B$57)-Hypotheses!$B$97)/Hypotheses!$B$99,ROUNDUP(MAX(0,($A75*Calculateur!$B$56+$A75*F$65*Calculateur!$B$57)-Hypotheses!$B$97)/Hypotheses!$B$99,0))*Hypotheses!$B$101)*12),Hypotheses!$A$58)-Hypotheses!$A$57)*Hypotheses!$B$58+MAX(0,MAX(0,($A75*F$65*Calculateur!$B$54-Calculateur!$B$58-IF(Hypotheses!$B$100="proportionnel",MAX(0,($A75*Calculateur!$B$56+$A75*F$65*Calculateur!$B$57)-Hypotheses!$B$97)/Hypotheses!$B$99,ROUNDUP(MAX(0,($A75*Calculateur!$B$56+$A75*F$65*Calculateur!$B$57)-Hypotheses!$B$97)/Hypotheses!$B$99,0))*Hypotheses!$B$101)*12)-Hypotheses!$A$58)*Hypotheses!$B$59)*(1+Hypotheses!$B$60)*(1-Hypotheses!$B$61)/12))*Hypotheses!$B$65</f>
        <v/>
      </c>
      <c r="G75" s="21">
        <f>(($A75*G$65*Calculateur!$B$54-Calculateur!$B$58-IF(Hypotheses!$B$100="proportionnel",MAX(0,($A75*Calculateur!$B$56+$A75*G$65*Calculateur!$B$57)-Hypotheses!$B$97)/Hypotheses!$B$99,ROUNDUP(MAX(0,($A75*Calculateur!$B$56+$A75*G$65*Calculateur!$B$57)-Hypotheses!$B$97)/Hypotheses!$B$99,0))*Hypotheses!$B$101)-(MIN(MAX(0,($A75*G$65*Calculateur!$B$54-Calculateur!$B$58-IF(Hypotheses!$B$100="proportionnel",MAX(0,($A75*Calculateur!$B$56+$A75*G$65*Calculateur!$B$57)-Hypotheses!$B$97)/Hypotheses!$B$99,ROUNDUP(MAX(0,($A75*Calculateur!$B$56+$A75*G$65*Calculateur!$B$57)-Hypotheses!$B$97)/Hypotheses!$B$99,0))*Hypotheses!$B$101)*12),Hypotheses!$A$56)*Hypotheses!$B$56+MAX(0,MIN(MAX(0,($A75*G$65*Calculateur!$B$54-Calculateur!$B$58-IF(Hypotheses!$B$100="proportionnel",MAX(0,($A75*Calculateur!$B$56+$A75*G$65*Calculateur!$B$57)-Hypotheses!$B$97)/Hypotheses!$B$99,ROUNDUP(MAX(0,($A75*Calculateur!$B$56+$A75*G$65*Calculateur!$B$57)-Hypotheses!$B$97)/Hypotheses!$B$99,0))*Hypotheses!$B$101)*12),Hypotheses!$A$57)-Hypotheses!$A$56)*Hypotheses!$B$57+MAX(0,MIN(MAX(0,($A75*G$65*Calculateur!$B$54-Calculateur!$B$58-IF(Hypotheses!$B$100="proportionnel",MAX(0,($A75*Calculateur!$B$56+$A75*G$65*Calculateur!$B$57)-Hypotheses!$B$97)/Hypotheses!$B$99,ROUNDUP(MAX(0,($A75*Calculateur!$B$56+$A75*G$65*Calculateur!$B$57)-Hypotheses!$B$97)/Hypotheses!$B$99,0))*Hypotheses!$B$101)*12),Hypotheses!$A$58)-Hypotheses!$A$57)*Hypotheses!$B$58+MAX(0,MAX(0,($A75*G$65*Calculateur!$B$54-Calculateur!$B$58-IF(Hypotheses!$B$100="proportionnel",MAX(0,($A75*Calculateur!$B$56+$A75*G$65*Calculateur!$B$57)-Hypotheses!$B$97)/Hypotheses!$B$99,ROUNDUP(MAX(0,($A75*Calculateur!$B$56+$A75*G$65*Calculateur!$B$57)-Hypotheses!$B$97)/Hypotheses!$B$99,0))*Hypotheses!$B$101)*12)-Hypotheses!$A$58)*Hypotheses!$B$59)*(1+Hypotheses!$B$60)*(1-Hypotheses!$B$61)/12)-MAX(0,(($A75*G$65*Calculateur!$B$54-Calculateur!$B$58-IF(Hypotheses!$B$100="proportionnel",MAX(0,($A75*Calculateur!$B$56+$A75*G$65*Calculateur!$B$57)-Hypotheses!$B$97)/Hypotheses!$B$99,ROUNDUP(MAX(0,($A75*Calculateur!$B$56+$A75*G$65*Calculateur!$B$57)-Hypotheses!$B$97)/Hypotheses!$B$99,0))*Hypotheses!$B$101)-(MIN(MAX(0,($A75*G$65*Calculateur!$B$54-Calculateur!$B$58-IF(Hypotheses!$B$100="proportionnel",MAX(0,($A75*Calculateur!$B$56+$A75*G$65*Calculateur!$B$57)-Hypotheses!$B$97)/Hypotheses!$B$99,ROUNDUP(MAX(0,($A75*Calculateur!$B$56+$A75*G$65*Calculateur!$B$57)-Hypotheses!$B$97)/Hypotheses!$B$99,0))*Hypotheses!$B$101)*12),Hypotheses!$A$56)*Hypotheses!$B$56+MAX(0,MIN(MAX(0,($A75*G$65*Calculateur!$B$54-Calculateur!$B$58-IF(Hypotheses!$B$100="proportionnel",MAX(0,($A75*Calculateur!$B$56+$A75*G$65*Calculateur!$B$57)-Hypotheses!$B$97)/Hypotheses!$B$99,ROUNDUP(MAX(0,($A75*Calculateur!$B$56+$A75*G$65*Calculateur!$B$57)-Hypotheses!$B$97)/Hypotheses!$B$99,0))*Hypotheses!$B$101)*12),Hypotheses!$A$57)-Hypotheses!$A$56)*Hypotheses!$B$57+MAX(0,MIN(MAX(0,($A75*G$65*Calculateur!$B$54-Calculateur!$B$58-IF(Hypotheses!$B$100="proportionnel",MAX(0,($A75*Calculateur!$B$56+$A75*G$65*Calculateur!$B$57)-Hypotheses!$B$97)/Hypotheses!$B$99,ROUNDUP(MAX(0,($A75*Calculateur!$B$56+$A75*G$65*Calculateur!$B$57)-Hypotheses!$B$97)/Hypotheses!$B$99,0))*Hypotheses!$B$101)*12),Hypotheses!$A$58)-Hypotheses!$A$57)*Hypotheses!$B$58+MAX(0,MAX(0,($A75*G$65*Calculateur!$B$54-Calculateur!$B$58-IF(Hypotheses!$B$100="proportionnel",MAX(0,($A75*Calculateur!$B$56+$A75*G$65*Calculateur!$B$57)-Hypotheses!$B$97)/Hypotheses!$B$99,ROUNDUP(MAX(0,($A75*Calculateur!$B$56+$A75*G$65*Calculateur!$B$57)-Hypotheses!$B$97)/Hypotheses!$B$99,0))*Hypotheses!$B$101)*12)-Hypotheses!$A$58)*Hypotheses!$B$59)*(1+Hypotheses!$B$60)*(1-Hypotheses!$B$61)/12))*Hypotheses!$B$65</f>
        <v/>
      </c>
      <c r="H75" s="21">
        <f>(($A75*H$65*Calculateur!$B$54-Calculateur!$B$58-IF(Hypotheses!$B$100="proportionnel",MAX(0,($A75*Calculateur!$B$56+$A75*H$65*Calculateur!$B$57)-Hypotheses!$B$97)/Hypotheses!$B$99,ROUNDUP(MAX(0,($A75*Calculateur!$B$56+$A75*H$65*Calculateur!$B$57)-Hypotheses!$B$97)/Hypotheses!$B$99,0))*Hypotheses!$B$101)-(MIN(MAX(0,($A75*H$65*Calculateur!$B$54-Calculateur!$B$58-IF(Hypotheses!$B$100="proportionnel",MAX(0,($A75*Calculateur!$B$56+$A75*H$65*Calculateur!$B$57)-Hypotheses!$B$97)/Hypotheses!$B$99,ROUNDUP(MAX(0,($A75*Calculateur!$B$56+$A75*H$65*Calculateur!$B$57)-Hypotheses!$B$97)/Hypotheses!$B$99,0))*Hypotheses!$B$101)*12),Hypotheses!$A$56)*Hypotheses!$B$56+MAX(0,MIN(MAX(0,($A75*H$65*Calculateur!$B$54-Calculateur!$B$58-IF(Hypotheses!$B$100="proportionnel",MAX(0,($A75*Calculateur!$B$56+$A75*H$65*Calculateur!$B$57)-Hypotheses!$B$97)/Hypotheses!$B$99,ROUNDUP(MAX(0,($A75*Calculateur!$B$56+$A75*H$65*Calculateur!$B$57)-Hypotheses!$B$97)/Hypotheses!$B$99,0))*Hypotheses!$B$101)*12),Hypotheses!$A$57)-Hypotheses!$A$56)*Hypotheses!$B$57+MAX(0,MIN(MAX(0,($A75*H$65*Calculateur!$B$54-Calculateur!$B$58-IF(Hypotheses!$B$100="proportionnel",MAX(0,($A75*Calculateur!$B$56+$A75*H$65*Calculateur!$B$57)-Hypotheses!$B$97)/Hypotheses!$B$99,ROUNDUP(MAX(0,($A75*Calculateur!$B$56+$A75*H$65*Calculateur!$B$57)-Hypotheses!$B$97)/Hypotheses!$B$99,0))*Hypotheses!$B$101)*12),Hypotheses!$A$58)-Hypotheses!$A$57)*Hypotheses!$B$58+MAX(0,MAX(0,($A75*H$65*Calculateur!$B$54-Calculateur!$B$58-IF(Hypotheses!$B$100="proportionnel",MAX(0,($A75*Calculateur!$B$56+$A75*H$65*Calculateur!$B$57)-Hypotheses!$B$97)/Hypotheses!$B$99,ROUNDUP(MAX(0,($A75*Calculateur!$B$56+$A75*H$65*Calculateur!$B$57)-Hypotheses!$B$97)/Hypotheses!$B$99,0))*Hypotheses!$B$101)*12)-Hypotheses!$A$58)*Hypotheses!$B$59)*(1+Hypotheses!$B$60)*(1-Hypotheses!$B$61)/12)-MAX(0,(($A75*H$65*Calculateur!$B$54-Calculateur!$B$58-IF(Hypotheses!$B$100="proportionnel",MAX(0,($A75*Calculateur!$B$56+$A75*H$65*Calculateur!$B$57)-Hypotheses!$B$97)/Hypotheses!$B$99,ROUNDUP(MAX(0,($A75*Calculateur!$B$56+$A75*H$65*Calculateur!$B$57)-Hypotheses!$B$97)/Hypotheses!$B$99,0))*Hypotheses!$B$101)-(MIN(MAX(0,($A75*H$65*Calculateur!$B$54-Calculateur!$B$58-IF(Hypotheses!$B$100="proportionnel",MAX(0,($A75*Calculateur!$B$56+$A75*H$65*Calculateur!$B$57)-Hypotheses!$B$97)/Hypotheses!$B$99,ROUNDUP(MAX(0,($A75*Calculateur!$B$56+$A75*H$65*Calculateur!$B$57)-Hypotheses!$B$97)/Hypotheses!$B$99,0))*Hypotheses!$B$101)*12),Hypotheses!$A$56)*Hypotheses!$B$56+MAX(0,MIN(MAX(0,($A75*H$65*Calculateur!$B$54-Calculateur!$B$58-IF(Hypotheses!$B$100="proportionnel",MAX(0,($A75*Calculateur!$B$56+$A75*H$65*Calculateur!$B$57)-Hypotheses!$B$97)/Hypotheses!$B$99,ROUNDUP(MAX(0,($A75*Calculateur!$B$56+$A75*H$65*Calculateur!$B$57)-Hypotheses!$B$97)/Hypotheses!$B$99,0))*Hypotheses!$B$101)*12),Hypotheses!$A$57)-Hypotheses!$A$56)*Hypotheses!$B$57+MAX(0,MIN(MAX(0,($A75*H$65*Calculateur!$B$54-Calculateur!$B$58-IF(Hypotheses!$B$100="proportionnel",MAX(0,($A75*Calculateur!$B$56+$A75*H$65*Calculateur!$B$57)-Hypotheses!$B$97)/Hypotheses!$B$99,ROUNDUP(MAX(0,($A75*Calculateur!$B$56+$A75*H$65*Calculateur!$B$57)-Hypotheses!$B$97)/Hypotheses!$B$99,0))*Hypotheses!$B$101)*12),Hypotheses!$A$58)-Hypotheses!$A$57)*Hypotheses!$B$58+MAX(0,MAX(0,($A75*H$65*Calculateur!$B$54-Calculateur!$B$58-IF(Hypotheses!$B$100="proportionnel",MAX(0,($A75*Calculateur!$B$56+$A75*H$65*Calculateur!$B$57)-Hypotheses!$B$97)/Hypotheses!$B$99,ROUNDUP(MAX(0,($A75*Calculateur!$B$56+$A75*H$65*Calculateur!$B$57)-Hypotheses!$B$97)/Hypotheses!$B$99,0))*Hypotheses!$B$101)*12)-Hypotheses!$A$58)*Hypotheses!$B$59)*(1+Hypotheses!$B$60)*(1-Hypotheses!$B$61)/12))*Hypotheses!$B$65</f>
        <v/>
      </c>
      <c r="I75" s="21">
        <f>(($A75*I$65*Calculateur!$B$54-Calculateur!$B$58-IF(Hypotheses!$B$100="proportionnel",MAX(0,($A75*Calculateur!$B$56+$A75*I$65*Calculateur!$B$57)-Hypotheses!$B$97)/Hypotheses!$B$99,ROUNDUP(MAX(0,($A75*Calculateur!$B$56+$A75*I$65*Calculateur!$B$57)-Hypotheses!$B$97)/Hypotheses!$B$99,0))*Hypotheses!$B$101)-(MIN(MAX(0,($A75*I$65*Calculateur!$B$54-Calculateur!$B$58-IF(Hypotheses!$B$100="proportionnel",MAX(0,($A75*Calculateur!$B$56+$A75*I$65*Calculateur!$B$57)-Hypotheses!$B$97)/Hypotheses!$B$99,ROUNDUP(MAX(0,($A75*Calculateur!$B$56+$A75*I$65*Calculateur!$B$57)-Hypotheses!$B$97)/Hypotheses!$B$99,0))*Hypotheses!$B$101)*12),Hypotheses!$A$56)*Hypotheses!$B$56+MAX(0,MIN(MAX(0,($A75*I$65*Calculateur!$B$54-Calculateur!$B$58-IF(Hypotheses!$B$100="proportionnel",MAX(0,($A75*Calculateur!$B$56+$A75*I$65*Calculateur!$B$57)-Hypotheses!$B$97)/Hypotheses!$B$99,ROUNDUP(MAX(0,($A75*Calculateur!$B$56+$A75*I$65*Calculateur!$B$57)-Hypotheses!$B$97)/Hypotheses!$B$99,0))*Hypotheses!$B$101)*12),Hypotheses!$A$57)-Hypotheses!$A$56)*Hypotheses!$B$57+MAX(0,MIN(MAX(0,($A75*I$65*Calculateur!$B$54-Calculateur!$B$58-IF(Hypotheses!$B$100="proportionnel",MAX(0,($A75*Calculateur!$B$56+$A75*I$65*Calculateur!$B$57)-Hypotheses!$B$97)/Hypotheses!$B$99,ROUNDUP(MAX(0,($A75*Calculateur!$B$56+$A75*I$65*Calculateur!$B$57)-Hypotheses!$B$97)/Hypotheses!$B$99,0))*Hypotheses!$B$101)*12),Hypotheses!$A$58)-Hypotheses!$A$57)*Hypotheses!$B$58+MAX(0,MAX(0,($A75*I$65*Calculateur!$B$54-Calculateur!$B$58-IF(Hypotheses!$B$100="proportionnel",MAX(0,($A75*Calculateur!$B$56+$A75*I$65*Calculateur!$B$57)-Hypotheses!$B$97)/Hypotheses!$B$99,ROUNDUP(MAX(0,($A75*Calculateur!$B$56+$A75*I$65*Calculateur!$B$57)-Hypotheses!$B$97)/Hypotheses!$B$99,0))*Hypotheses!$B$101)*12)-Hypotheses!$A$58)*Hypotheses!$B$59)*(1+Hypotheses!$B$60)*(1-Hypotheses!$B$61)/12)-MAX(0,(($A75*I$65*Calculateur!$B$54-Calculateur!$B$58-IF(Hypotheses!$B$100="proportionnel",MAX(0,($A75*Calculateur!$B$56+$A75*I$65*Calculateur!$B$57)-Hypotheses!$B$97)/Hypotheses!$B$99,ROUNDUP(MAX(0,($A75*Calculateur!$B$56+$A75*I$65*Calculateur!$B$57)-Hypotheses!$B$97)/Hypotheses!$B$99,0))*Hypotheses!$B$101)-(MIN(MAX(0,($A75*I$65*Calculateur!$B$54-Calculateur!$B$58-IF(Hypotheses!$B$100="proportionnel",MAX(0,($A75*Calculateur!$B$56+$A75*I$65*Calculateur!$B$57)-Hypotheses!$B$97)/Hypotheses!$B$99,ROUNDUP(MAX(0,($A75*Calculateur!$B$56+$A75*I$65*Calculateur!$B$57)-Hypotheses!$B$97)/Hypotheses!$B$99,0))*Hypotheses!$B$101)*12),Hypotheses!$A$56)*Hypotheses!$B$56+MAX(0,MIN(MAX(0,($A75*I$65*Calculateur!$B$54-Calculateur!$B$58-IF(Hypotheses!$B$100="proportionnel",MAX(0,($A75*Calculateur!$B$56+$A75*I$65*Calculateur!$B$57)-Hypotheses!$B$97)/Hypotheses!$B$99,ROUNDUP(MAX(0,($A75*Calculateur!$B$56+$A75*I$65*Calculateur!$B$57)-Hypotheses!$B$97)/Hypotheses!$B$99,0))*Hypotheses!$B$101)*12),Hypotheses!$A$57)-Hypotheses!$A$56)*Hypotheses!$B$57+MAX(0,MIN(MAX(0,($A75*I$65*Calculateur!$B$54-Calculateur!$B$58-IF(Hypotheses!$B$100="proportionnel",MAX(0,($A75*Calculateur!$B$56+$A75*I$65*Calculateur!$B$57)-Hypotheses!$B$97)/Hypotheses!$B$99,ROUNDUP(MAX(0,($A75*Calculateur!$B$56+$A75*I$65*Calculateur!$B$57)-Hypotheses!$B$97)/Hypotheses!$B$99,0))*Hypotheses!$B$101)*12),Hypotheses!$A$58)-Hypotheses!$A$57)*Hypotheses!$B$58+MAX(0,MAX(0,($A75*I$65*Calculateur!$B$54-Calculateur!$B$58-IF(Hypotheses!$B$100="proportionnel",MAX(0,($A75*Calculateur!$B$56+$A75*I$65*Calculateur!$B$57)-Hypotheses!$B$97)/Hypotheses!$B$99,ROUNDUP(MAX(0,($A75*Calculateur!$B$56+$A75*I$65*Calculateur!$B$57)-Hypotheses!$B$97)/Hypotheses!$B$99,0))*Hypotheses!$B$101)*12)-Hypotheses!$A$58)*Hypotheses!$B$59)*(1+Hypotheses!$B$60)*(1-Hypotheses!$B$61)/12))*Hypotheses!$B$65</f>
        <v/>
      </c>
    </row>
    <row r="76">
      <c r="A76" s="36" t="n">
        <v>150</v>
      </c>
      <c r="B76" s="21">
        <f>(($A76*B$65*Calculateur!$B$54-Calculateur!$B$58-IF(Hypotheses!$B$100="proportionnel",MAX(0,($A76*Calculateur!$B$56+$A76*B$65*Calculateur!$B$57)-Hypotheses!$B$97)/Hypotheses!$B$99,ROUNDUP(MAX(0,($A76*Calculateur!$B$56+$A76*B$65*Calculateur!$B$57)-Hypotheses!$B$97)/Hypotheses!$B$99,0))*Hypotheses!$B$101)-(MIN(MAX(0,($A76*B$65*Calculateur!$B$54-Calculateur!$B$58-IF(Hypotheses!$B$100="proportionnel",MAX(0,($A76*Calculateur!$B$56+$A76*B$65*Calculateur!$B$57)-Hypotheses!$B$97)/Hypotheses!$B$99,ROUNDUP(MAX(0,($A76*Calculateur!$B$56+$A76*B$65*Calculateur!$B$57)-Hypotheses!$B$97)/Hypotheses!$B$99,0))*Hypotheses!$B$101)*12),Hypotheses!$A$56)*Hypotheses!$B$56+MAX(0,MIN(MAX(0,($A76*B$65*Calculateur!$B$54-Calculateur!$B$58-IF(Hypotheses!$B$100="proportionnel",MAX(0,($A76*Calculateur!$B$56+$A76*B$65*Calculateur!$B$57)-Hypotheses!$B$97)/Hypotheses!$B$99,ROUNDUP(MAX(0,($A76*Calculateur!$B$56+$A76*B$65*Calculateur!$B$57)-Hypotheses!$B$97)/Hypotheses!$B$99,0))*Hypotheses!$B$101)*12),Hypotheses!$A$57)-Hypotheses!$A$56)*Hypotheses!$B$57+MAX(0,MIN(MAX(0,($A76*B$65*Calculateur!$B$54-Calculateur!$B$58-IF(Hypotheses!$B$100="proportionnel",MAX(0,($A76*Calculateur!$B$56+$A76*B$65*Calculateur!$B$57)-Hypotheses!$B$97)/Hypotheses!$B$99,ROUNDUP(MAX(0,($A76*Calculateur!$B$56+$A76*B$65*Calculateur!$B$57)-Hypotheses!$B$97)/Hypotheses!$B$99,0))*Hypotheses!$B$101)*12),Hypotheses!$A$58)-Hypotheses!$A$57)*Hypotheses!$B$58+MAX(0,MAX(0,($A76*B$65*Calculateur!$B$54-Calculateur!$B$58-IF(Hypotheses!$B$100="proportionnel",MAX(0,($A76*Calculateur!$B$56+$A76*B$65*Calculateur!$B$57)-Hypotheses!$B$97)/Hypotheses!$B$99,ROUNDUP(MAX(0,($A76*Calculateur!$B$56+$A76*B$65*Calculateur!$B$57)-Hypotheses!$B$97)/Hypotheses!$B$99,0))*Hypotheses!$B$101)*12)-Hypotheses!$A$58)*Hypotheses!$B$59)*(1+Hypotheses!$B$60)*(1-Hypotheses!$B$61)/12)-MAX(0,(($A76*B$65*Calculateur!$B$54-Calculateur!$B$58-IF(Hypotheses!$B$100="proportionnel",MAX(0,($A76*Calculateur!$B$56+$A76*B$65*Calculateur!$B$57)-Hypotheses!$B$97)/Hypotheses!$B$99,ROUNDUP(MAX(0,($A76*Calculateur!$B$56+$A76*B$65*Calculateur!$B$57)-Hypotheses!$B$97)/Hypotheses!$B$99,0))*Hypotheses!$B$101)-(MIN(MAX(0,($A76*B$65*Calculateur!$B$54-Calculateur!$B$58-IF(Hypotheses!$B$100="proportionnel",MAX(0,($A76*Calculateur!$B$56+$A76*B$65*Calculateur!$B$57)-Hypotheses!$B$97)/Hypotheses!$B$99,ROUNDUP(MAX(0,($A76*Calculateur!$B$56+$A76*B$65*Calculateur!$B$57)-Hypotheses!$B$97)/Hypotheses!$B$99,0))*Hypotheses!$B$101)*12),Hypotheses!$A$56)*Hypotheses!$B$56+MAX(0,MIN(MAX(0,($A76*B$65*Calculateur!$B$54-Calculateur!$B$58-IF(Hypotheses!$B$100="proportionnel",MAX(0,($A76*Calculateur!$B$56+$A76*B$65*Calculateur!$B$57)-Hypotheses!$B$97)/Hypotheses!$B$99,ROUNDUP(MAX(0,($A76*Calculateur!$B$56+$A76*B$65*Calculateur!$B$57)-Hypotheses!$B$97)/Hypotheses!$B$99,0))*Hypotheses!$B$101)*12),Hypotheses!$A$57)-Hypotheses!$A$56)*Hypotheses!$B$57+MAX(0,MIN(MAX(0,($A76*B$65*Calculateur!$B$54-Calculateur!$B$58-IF(Hypotheses!$B$100="proportionnel",MAX(0,($A76*Calculateur!$B$56+$A76*B$65*Calculateur!$B$57)-Hypotheses!$B$97)/Hypotheses!$B$99,ROUNDUP(MAX(0,($A76*Calculateur!$B$56+$A76*B$65*Calculateur!$B$57)-Hypotheses!$B$97)/Hypotheses!$B$99,0))*Hypotheses!$B$101)*12),Hypotheses!$A$58)-Hypotheses!$A$57)*Hypotheses!$B$58+MAX(0,MAX(0,($A76*B$65*Calculateur!$B$54-Calculateur!$B$58-IF(Hypotheses!$B$100="proportionnel",MAX(0,($A76*Calculateur!$B$56+$A76*B$65*Calculateur!$B$57)-Hypotheses!$B$97)/Hypotheses!$B$99,ROUNDUP(MAX(0,($A76*Calculateur!$B$56+$A76*B$65*Calculateur!$B$57)-Hypotheses!$B$97)/Hypotheses!$B$99,0))*Hypotheses!$B$101)*12)-Hypotheses!$A$58)*Hypotheses!$B$59)*(1+Hypotheses!$B$60)*(1-Hypotheses!$B$61)/12))*Hypotheses!$B$65</f>
        <v/>
      </c>
      <c r="C76" s="21">
        <f>(($A76*C$65*Calculateur!$B$54-Calculateur!$B$58-IF(Hypotheses!$B$100="proportionnel",MAX(0,($A76*Calculateur!$B$56+$A76*C$65*Calculateur!$B$57)-Hypotheses!$B$97)/Hypotheses!$B$99,ROUNDUP(MAX(0,($A76*Calculateur!$B$56+$A76*C$65*Calculateur!$B$57)-Hypotheses!$B$97)/Hypotheses!$B$99,0))*Hypotheses!$B$101)-(MIN(MAX(0,($A76*C$65*Calculateur!$B$54-Calculateur!$B$58-IF(Hypotheses!$B$100="proportionnel",MAX(0,($A76*Calculateur!$B$56+$A76*C$65*Calculateur!$B$57)-Hypotheses!$B$97)/Hypotheses!$B$99,ROUNDUP(MAX(0,($A76*Calculateur!$B$56+$A76*C$65*Calculateur!$B$57)-Hypotheses!$B$97)/Hypotheses!$B$99,0))*Hypotheses!$B$101)*12),Hypotheses!$A$56)*Hypotheses!$B$56+MAX(0,MIN(MAX(0,($A76*C$65*Calculateur!$B$54-Calculateur!$B$58-IF(Hypotheses!$B$100="proportionnel",MAX(0,($A76*Calculateur!$B$56+$A76*C$65*Calculateur!$B$57)-Hypotheses!$B$97)/Hypotheses!$B$99,ROUNDUP(MAX(0,($A76*Calculateur!$B$56+$A76*C$65*Calculateur!$B$57)-Hypotheses!$B$97)/Hypotheses!$B$99,0))*Hypotheses!$B$101)*12),Hypotheses!$A$57)-Hypotheses!$A$56)*Hypotheses!$B$57+MAX(0,MIN(MAX(0,($A76*C$65*Calculateur!$B$54-Calculateur!$B$58-IF(Hypotheses!$B$100="proportionnel",MAX(0,($A76*Calculateur!$B$56+$A76*C$65*Calculateur!$B$57)-Hypotheses!$B$97)/Hypotheses!$B$99,ROUNDUP(MAX(0,($A76*Calculateur!$B$56+$A76*C$65*Calculateur!$B$57)-Hypotheses!$B$97)/Hypotheses!$B$99,0))*Hypotheses!$B$101)*12),Hypotheses!$A$58)-Hypotheses!$A$57)*Hypotheses!$B$58+MAX(0,MAX(0,($A76*C$65*Calculateur!$B$54-Calculateur!$B$58-IF(Hypotheses!$B$100="proportionnel",MAX(0,($A76*Calculateur!$B$56+$A76*C$65*Calculateur!$B$57)-Hypotheses!$B$97)/Hypotheses!$B$99,ROUNDUP(MAX(0,($A76*Calculateur!$B$56+$A76*C$65*Calculateur!$B$57)-Hypotheses!$B$97)/Hypotheses!$B$99,0))*Hypotheses!$B$101)*12)-Hypotheses!$A$58)*Hypotheses!$B$59)*(1+Hypotheses!$B$60)*(1-Hypotheses!$B$61)/12)-MAX(0,(($A76*C$65*Calculateur!$B$54-Calculateur!$B$58-IF(Hypotheses!$B$100="proportionnel",MAX(0,($A76*Calculateur!$B$56+$A76*C$65*Calculateur!$B$57)-Hypotheses!$B$97)/Hypotheses!$B$99,ROUNDUP(MAX(0,($A76*Calculateur!$B$56+$A76*C$65*Calculateur!$B$57)-Hypotheses!$B$97)/Hypotheses!$B$99,0))*Hypotheses!$B$101)-(MIN(MAX(0,($A76*C$65*Calculateur!$B$54-Calculateur!$B$58-IF(Hypotheses!$B$100="proportionnel",MAX(0,($A76*Calculateur!$B$56+$A76*C$65*Calculateur!$B$57)-Hypotheses!$B$97)/Hypotheses!$B$99,ROUNDUP(MAX(0,($A76*Calculateur!$B$56+$A76*C$65*Calculateur!$B$57)-Hypotheses!$B$97)/Hypotheses!$B$99,0))*Hypotheses!$B$101)*12),Hypotheses!$A$56)*Hypotheses!$B$56+MAX(0,MIN(MAX(0,($A76*C$65*Calculateur!$B$54-Calculateur!$B$58-IF(Hypotheses!$B$100="proportionnel",MAX(0,($A76*Calculateur!$B$56+$A76*C$65*Calculateur!$B$57)-Hypotheses!$B$97)/Hypotheses!$B$99,ROUNDUP(MAX(0,($A76*Calculateur!$B$56+$A76*C$65*Calculateur!$B$57)-Hypotheses!$B$97)/Hypotheses!$B$99,0))*Hypotheses!$B$101)*12),Hypotheses!$A$57)-Hypotheses!$A$56)*Hypotheses!$B$57+MAX(0,MIN(MAX(0,($A76*C$65*Calculateur!$B$54-Calculateur!$B$58-IF(Hypotheses!$B$100="proportionnel",MAX(0,($A76*Calculateur!$B$56+$A76*C$65*Calculateur!$B$57)-Hypotheses!$B$97)/Hypotheses!$B$99,ROUNDUP(MAX(0,($A76*Calculateur!$B$56+$A76*C$65*Calculateur!$B$57)-Hypotheses!$B$97)/Hypotheses!$B$99,0))*Hypotheses!$B$101)*12),Hypotheses!$A$58)-Hypotheses!$A$57)*Hypotheses!$B$58+MAX(0,MAX(0,($A76*C$65*Calculateur!$B$54-Calculateur!$B$58-IF(Hypotheses!$B$100="proportionnel",MAX(0,($A76*Calculateur!$B$56+$A76*C$65*Calculateur!$B$57)-Hypotheses!$B$97)/Hypotheses!$B$99,ROUNDUP(MAX(0,($A76*Calculateur!$B$56+$A76*C$65*Calculateur!$B$57)-Hypotheses!$B$97)/Hypotheses!$B$99,0))*Hypotheses!$B$101)*12)-Hypotheses!$A$58)*Hypotheses!$B$59)*(1+Hypotheses!$B$60)*(1-Hypotheses!$B$61)/12))*Hypotheses!$B$65</f>
        <v/>
      </c>
      <c r="D76" s="21">
        <f>(($A76*D$65*Calculateur!$B$54-Calculateur!$B$58-IF(Hypotheses!$B$100="proportionnel",MAX(0,($A76*Calculateur!$B$56+$A76*D$65*Calculateur!$B$57)-Hypotheses!$B$97)/Hypotheses!$B$99,ROUNDUP(MAX(0,($A76*Calculateur!$B$56+$A76*D$65*Calculateur!$B$57)-Hypotheses!$B$97)/Hypotheses!$B$99,0))*Hypotheses!$B$101)-(MIN(MAX(0,($A76*D$65*Calculateur!$B$54-Calculateur!$B$58-IF(Hypotheses!$B$100="proportionnel",MAX(0,($A76*Calculateur!$B$56+$A76*D$65*Calculateur!$B$57)-Hypotheses!$B$97)/Hypotheses!$B$99,ROUNDUP(MAX(0,($A76*Calculateur!$B$56+$A76*D$65*Calculateur!$B$57)-Hypotheses!$B$97)/Hypotheses!$B$99,0))*Hypotheses!$B$101)*12),Hypotheses!$A$56)*Hypotheses!$B$56+MAX(0,MIN(MAX(0,($A76*D$65*Calculateur!$B$54-Calculateur!$B$58-IF(Hypotheses!$B$100="proportionnel",MAX(0,($A76*Calculateur!$B$56+$A76*D$65*Calculateur!$B$57)-Hypotheses!$B$97)/Hypotheses!$B$99,ROUNDUP(MAX(0,($A76*Calculateur!$B$56+$A76*D$65*Calculateur!$B$57)-Hypotheses!$B$97)/Hypotheses!$B$99,0))*Hypotheses!$B$101)*12),Hypotheses!$A$57)-Hypotheses!$A$56)*Hypotheses!$B$57+MAX(0,MIN(MAX(0,($A76*D$65*Calculateur!$B$54-Calculateur!$B$58-IF(Hypotheses!$B$100="proportionnel",MAX(0,($A76*Calculateur!$B$56+$A76*D$65*Calculateur!$B$57)-Hypotheses!$B$97)/Hypotheses!$B$99,ROUNDUP(MAX(0,($A76*Calculateur!$B$56+$A76*D$65*Calculateur!$B$57)-Hypotheses!$B$97)/Hypotheses!$B$99,0))*Hypotheses!$B$101)*12),Hypotheses!$A$58)-Hypotheses!$A$57)*Hypotheses!$B$58+MAX(0,MAX(0,($A76*D$65*Calculateur!$B$54-Calculateur!$B$58-IF(Hypotheses!$B$100="proportionnel",MAX(0,($A76*Calculateur!$B$56+$A76*D$65*Calculateur!$B$57)-Hypotheses!$B$97)/Hypotheses!$B$99,ROUNDUP(MAX(0,($A76*Calculateur!$B$56+$A76*D$65*Calculateur!$B$57)-Hypotheses!$B$97)/Hypotheses!$B$99,0))*Hypotheses!$B$101)*12)-Hypotheses!$A$58)*Hypotheses!$B$59)*(1+Hypotheses!$B$60)*(1-Hypotheses!$B$61)/12)-MAX(0,(($A76*D$65*Calculateur!$B$54-Calculateur!$B$58-IF(Hypotheses!$B$100="proportionnel",MAX(0,($A76*Calculateur!$B$56+$A76*D$65*Calculateur!$B$57)-Hypotheses!$B$97)/Hypotheses!$B$99,ROUNDUP(MAX(0,($A76*Calculateur!$B$56+$A76*D$65*Calculateur!$B$57)-Hypotheses!$B$97)/Hypotheses!$B$99,0))*Hypotheses!$B$101)-(MIN(MAX(0,($A76*D$65*Calculateur!$B$54-Calculateur!$B$58-IF(Hypotheses!$B$100="proportionnel",MAX(0,($A76*Calculateur!$B$56+$A76*D$65*Calculateur!$B$57)-Hypotheses!$B$97)/Hypotheses!$B$99,ROUNDUP(MAX(0,($A76*Calculateur!$B$56+$A76*D$65*Calculateur!$B$57)-Hypotheses!$B$97)/Hypotheses!$B$99,0))*Hypotheses!$B$101)*12),Hypotheses!$A$56)*Hypotheses!$B$56+MAX(0,MIN(MAX(0,($A76*D$65*Calculateur!$B$54-Calculateur!$B$58-IF(Hypotheses!$B$100="proportionnel",MAX(0,($A76*Calculateur!$B$56+$A76*D$65*Calculateur!$B$57)-Hypotheses!$B$97)/Hypotheses!$B$99,ROUNDUP(MAX(0,($A76*Calculateur!$B$56+$A76*D$65*Calculateur!$B$57)-Hypotheses!$B$97)/Hypotheses!$B$99,0))*Hypotheses!$B$101)*12),Hypotheses!$A$57)-Hypotheses!$A$56)*Hypotheses!$B$57+MAX(0,MIN(MAX(0,($A76*D$65*Calculateur!$B$54-Calculateur!$B$58-IF(Hypotheses!$B$100="proportionnel",MAX(0,($A76*Calculateur!$B$56+$A76*D$65*Calculateur!$B$57)-Hypotheses!$B$97)/Hypotheses!$B$99,ROUNDUP(MAX(0,($A76*Calculateur!$B$56+$A76*D$65*Calculateur!$B$57)-Hypotheses!$B$97)/Hypotheses!$B$99,0))*Hypotheses!$B$101)*12),Hypotheses!$A$58)-Hypotheses!$A$57)*Hypotheses!$B$58+MAX(0,MAX(0,($A76*D$65*Calculateur!$B$54-Calculateur!$B$58-IF(Hypotheses!$B$100="proportionnel",MAX(0,($A76*Calculateur!$B$56+$A76*D$65*Calculateur!$B$57)-Hypotheses!$B$97)/Hypotheses!$B$99,ROUNDUP(MAX(0,($A76*Calculateur!$B$56+$A76*D$65*Calculateur!$B$57)-Hypotheses!$B$97)/Hypotheses!$B$99,0))*Hypotheses!$B$101)*12)-Hypotheses!$A$58)*Hypotheses!$B$59)*(1+Hypotheses!$B$60)*(1-Hypotheses!$B$61)/12))*Hypotheses!$B$65</f>
        <v/>
      </c>
      <c r="E76" s="21">
        <f>(($A76*E$65*Calculateur!$B$54-Calculateur!$B$58-IF(Hypotheses!$B$100="proportionnel",MAX(0,($A76*Calculateur!$B$56+$A76*E$65*Calculateur!$B$57)-Hypotheses!$B$97)/Hypotheses!$B$99,ROUNDUP(MAX(0,($A76*Calculateur!$B$56+$A76*E$65*Calculateur!$B$57)-Hypotheses!$B$97)/Hypotheses!$B$99,0))*Hypotheses!$B$101)-(MIN(MAX(0,($A76*E$65*Calculateur!$B$54-Calculateur!$B$58-IF(Hypotheses!$B$100="proportionnel",MAX(0,($A76*Calculateur!$B$56+$A76*E$65*Calculateur!$B$57)-Hypotheses!$B$97)/Hypotheses!$B$99,ROUNDUP(MAX(0,($A76*Calculateur!$B$56+$A76*E$65*Calculateur!$B$57)-Hypotheses!$B$97)/Hypotheses!$B$99,0))*Hypotheses!$B$101)*12),Hypotheses!$A$56)*Hypotheses!$B$56+MAX(0,MIN(MAX(0,($A76*E$65*Calculateur!$B$54-Calculateur!$B$58-IF(Hypotheses!$B$100="proportionnel",MAX(0,($A76*Calculateur!$B$56+$A76*E$65*Calculateur!$B$57)-Hypotheses!$B$97)/Hypotheses!$B$99,ROUNDUP(MAX(0,($A76*Calculateur!$B$56+$A76*E$65*Calculateur!$B$57)-Hypotheses!$B$97)/Hypotheses!$B$99,0))*Hypotheses!$B$101)*12),Hypotheses!$A$57)-Hypotheses!$A$56)*Hypotheses!$B$57+MAX(0,MIN(MAX(0,($A76*E$65*Calculateur!$B$54-Calculateur!$B$58-IF(Hypotheses!$B$100="proportionnel",MAX(0,($A76*Calculateur!$B$56+$A76*E$65*Calculateur!$B$57)-Hypotheses!$B$97)/Hypotheses!$B$99,ROUNDUP(MAX(0,($A76*Calculateur!$B$56+$A76*E$65*Calculateur!$B$57)-Hypotheses!$B$97)/Hypotheses!$B$99,0))*Hypotheses!$B$101)*12),Hypotheses!$A$58)-Hypotheses!$A$57)*Hypotheses!$B$58+MAX(0,MAX(0,($A76*E$65*Calculateur!$B$54-Calculateur!$B$58-IF(Hypotheses!$B$100="proportionnel",MAX(0,($A76*Calculateur!$B$56+$A76*E$65*Calculateur!$B$57)-Hypotheses!$B$97)/Hypotheses!$B$99,ROUNDUP(MAX(0,($A76*Calculateur!$B$56+$A76*E$65*Calculateur!$B$57)-Hypotheses!$B$97)/Hypotheses!$B$99,0))*Hypotheses!$B$101)*12)-Hypotheses!$A$58)*Hypotheses!$B$59)*(1+Hypotheses!$B$60)*(1-Hypotheses!$B$61)/12)-MAX(0,(($A76*E$65*Calculateur!$B$54-Calculateur!$B$58-IF(Hypotheses!$B$100="proportionnel",MAX(0,($A76*Calculateur!$B$56+$A76*E$65*Calculateur!$B$57)-Hypotheses!$B$97)/Hypotheses!$B$99,ROUNDUP(MAX(0,($A76*Calculateur!$B$56+$A76*E$65*Calculateur!$B$57)-Hypotheses!$B$97)/Hypotheses!$B$99,0))*Hypotheses!$B$101)-(MIN(MAX(0,($A76*E$65*Calculateur!$B$54-Calculateur!$B$58-IF(Hypotheses!$B$100="proportionnel",MAX(0,($A76*Calculateur!$B$56+$A76*E$65*Calculateur!$B$57)-Hypotheses!$B$97)/Hypotheses!$B$99,ROUNDUP(MAX(0,($A76*Calculateur!$B$56+$A76*E$65*Calculateur!$B$57)-Hypotheses!$B$97)/Hypotheses!$B$99,0))*Hypotheses!$B$101)*12),Hypotheses!$A$56)*Hypotheses!$B$56+MAX(0,MIN(MAX(0,($A76*E$65*Calculateur!$B$54-Calculateur!$B$58-IF(Hypotheses!$B$100="proportionnel",MAX(0,($A76*Calculateur!$B$56+$A76*E$65*Calculateur!$B$57)-Hypotheses!$B$97)/Hypotheses!$B$99,ROUNDUP(MAX(0,($A76*Calculateur!$B$56+$A76*E$65*Calculateur!$B$57)-Hypotheses!$B$97)/Hypotheses!$B$99,0))*Hypotheses!$B$101)*12),Hypotheses!$A$57)-Hypotheses!$A$56)*Hypotheses!$B$57+MAX(0,MIN(MAX(0,($A76*E$65*Calculateur!$B$54-Calculateur!$B$58-IF(Hypotheses!$B$100="proportionnel",MAX(0,($A76*Calculateur!$B$56+$A76*E$65*Calculateur!$B$57)-Hypotheses!$B$97)/Hypotheses!$B$99,ROUNDUP(MAX(0,($A76*Calculateur!$B$56+$A76*E$65*Calculateur!$B$57)-Hypotheses!$B$97)/Hypotheses!$B$99,0))*Hypotheses!$B$101)*12),Hypotheses!$A$58)-Hypotheses!$A$57)*Hypotheses!$B$58+MAX(0,MAX(0,($A76*E$65*Calculateur!$B$54-Calculateur!$B$58-IF(Hypotheses!$B$100="proportionnel",MAX(0,($A76*Calculateur!$B$56+$A76*E$65*Calculateur!$B$57)-Hypotheses!$B$97)/Hypotheses!$B$99,ROUNDUP(MAX(0,($A76*Calculateur!$B$56+$A76*E$65*Calculateur!$B$57)-Hypotheses!$B$97)/Hypotheses!$B$99,0))*Hypotheses!$B$101)*12)-Hypotheses!$A$58)*Hypotheses!$B$59)*(1+Hypotheses!$B$60)*(1-Hypotheses!$B$61)/12))*Hypotheses!$B$65</f>
        <v/>
      </c>
      <c r="F76" s="21">
        <f>(($A76*F$65*Calculateur!$B$54-Calculateur!$B$58-IF(Hypotheses!$B$100="proportionnel",MAX(0,($A76*Calculateur!$B$56+$A76*F$65*Calculateur!$B$57)-Hypotheses!$B$97)/Hypotheses!$B$99,ROUNDUP(MAX(0,($A76*Calculateur!$B$56+$A76*F$65*Calculateur!$B$57)-Hypotheses!$B$97)/Hypotheses!$B$99,0))*Hypotheses!$B$101)-(MIN(MAX(0,($A76*F$65*Calculateur!$B$54-Calculateur!$B$58-IF(Hypotheses!$B$100="proportionnel",MAX(0,($A76*Calculateur!$B$56+$A76*F$65*Calculateur!$B$57)-Hypotheses!$B$97)/Hypotheses!$B$99,ROUNDUP(MAX(0,($A76*Calculateur!$B$56+$A76*F$65*Calculateur!$B$57)-Hypotheses!$B$97)/Hypotheses!$B$99,0))*Hypotheses!$B$101)*12),Hypotheses!$A$56)*Hypotheses!$B$56+MAX(0,MIN(MAX(0,($A76*F$65*Calculateur!$B$54-Calculateur!$B$58-IF(Hypotheses!$B$100="proportionnel",MAX(0,($A76*Calculateur!$B$56+$A76*F$65*Calculateur!$B$57)-Hypotheses!$B$97)/Hypotheses!$B$99,ROUNDUP(MAX(0,($A76*Calculateur!$B$56+$A76*F$65*Calculateur!$B$57)-Hypotheses!$B$97)/Hypotheses!$B$99,0))*Hypotheses!$B$101)*12),Hypotheses!$A$57)-Hypotheses!$A$56)*Hypotheses!$B$57+MAX(0,MIN(MAX(0,($A76*F$65*Calculateur!$B$54-Calculateur!$B$58-IF(Hypotheses!$B$100="proportionnel",MAX(0,($A76*Calculateur!$B$56+$A76*F$65*Calculateur!$B$57)-Hypotheses!$B$97)/Hypotheses!$B$99,ROUNDUP(MAX(0,($A76*Calculateur!$B$56+$A76*F$65*Calculateur!$B$57)-Hypotheses!$B$97)/Hypotheses!$B$99,0))*Hypotheses!$B$101)*12),Hypotheses!$A$58)-Hypotheses!$A$57)*Hypotheses!$B$58+MAX(0,MAX(0,($A76*F$65*Calculateur!$B$54-Calculateur!$B$58-IF(Hypotheses!$B$100="proportionnel",MAX(0,($A76*Calculateur!$B$56+$A76*F$65*Calculateur!$B$57)-Hypotheses!$B$97)/Hypotheses!$B$99,ROUNDUP(MAX(0,($A76*Calculateur!$B$56+$A76*F$65*Calculateur!$B$57)-Hypotheses!$B$97)/Hypotheses!$B$99,0))*Hypotheses!$B$101)*12)-Hypotheses!$A$58)*Hypotheses!$B$59)*(1+Hypotheses!$B$60)*(1-Hypotheses!$B$61)/12)-MAX(0,(($A76*F$65*Calculateur!$B$54-Calculateur!$B$58-IF(Hypotheses!$B$100="proportionnel",MAX(0,($A76*Calculateur!$B$56+$A76*F$65*Calculateur!$B$57)-Hypotheses!$B$97)/Hypotheses!$B$99,ROUNDUP(MAX(0,($A76*Calculateur!$B$56+$A76*F$65*Calculateur!$B$57)-Hypotheses!$B$97)/Hypotheses!$B$99,0))*Hypotheses!$B$101)-(MIN(MAX(0,($A76*F$65*Calculateur!$B$54-Calculateur!$B$58-IF(Hypotheses!$B$100="proportionnel",MAX(0,($A76*Calculateur!$B$56+$A76*F$65*Calculateur!$B$57)-Hypotheses!$B$97)/Hypotheses!$B$99,ROUNDUP(MAX(0,($A76*Calculateur!$B$56+$A76*F$65*Calculateur!$B$57)-Hypotheses!$B$97)/Hypotheses!$B$99,0))*Hypotheses!$B$101)*12),Hypotheses!$A$56)*Hypotheses!$B$56+MAX(0,MIN(MAX(0,($A76*F$65*Calculateur!$B$54-Calculateur!$B$58-IF(Hypotheses!$B$100="proportionnel",MAX(0,($A76*Calculateur!$B$56+$A76*F$65*Calculateur!$B$57)-Hypotheses!$B$97)/Hypotheses!$B$99,ROUNDUP(MAX(0,($A76*Calculateur!$B$56+$A76*F$65*Calculateur!$B$57)-Hypotheses!$B$97)/Hypotheses!$B$99,0))*Hypotheses!$B$101)*12),Hypotheses!$A$57)-Hypotheses!$A$56)*Hypotheses!$B$57+MAX(0,MIN(MAX(0,($A76*F$65*Calculateur!$B$54-Calculateur!$B$58-IF(Hypotheses!$B$100="proportionnel",MAX(0,($A76*Calculateur!$B$56+$A76*F$65*Calculateur!$B$57)-Hypotheses!$B$97)/Hypotheses!$B$99,ROUNDUP(MAX(0,($A76*Calculateur!$B$56+$A76*F$65*Calculateur!$B$57)-Hypotheses!$B$97)/Hypotheses!$B$99,0))*Hypotheses!$B$101)*12),Hypotheses!$A$58)-Hypotheses!$A$57)*Hypotheses!$B$58+MAX(0,MAX(0,($A76*F$65*Calculateur!$B$54-Calculateur!$B$58-IF(Hypotheses!$B$100="proportionnel",MAX(0,($A76*Calculateur!$B$56+$A76*F$65*Calculateur!$B$57)-Hypotheses!$B$97)/Hypotheses!$B$99,ROUNDUP(MAX(0,($A76*Calculateur!$B$56+$A76*F$65*Calculateur!$B$57)-Hypotheses!$B$97)/Hypotheses!$B$99,0))*Hypotheses!$B$101)*12)-Hypotheses!$A$58)*Hypotheses!$B$59)*(1+Hypotheses!$B$60)*(1-Hypotheses!$B$61)/12))*Hypotheses!$B$65</f>
        <v/>
      </c>
      <c r="G76" s="21">
        <f>(($A76*G$65*Calculateur!$B$54-Calculateur!$B$58-IF(Hypotheses!$B$100="proportionnel",MAX(0,($A76*Calculateur!$B$56+$A76*G$65*Calculateur!$B$57)-Hypotheses!$B$97)/Hypotheses!$B$99,ROUNDUP(MAX(0,($A76*Calculateur!$B$56+$A76*G$65*Calculateur!$B$57)-Hypotheses!$B$97)/Hypotheses!$B$99,0))*Hypotheses!$B$101)-(MIN(MAX(0,($A76*G$65*Calculateur!$B$54-Calculateur!$B$58-IF(Hypotheses!$B$100="proportionnel",MAX(0,($A76*Calculateur!$B$56+$A76*G$65*Calculateur!$B$57)-Hypotheses!$B$97)/Hypotheses!$B$99,ROUNDUP(MAX(0,($A76*Calculateur!$B$56+$A76*G$65*Calculateur!$B$57)-Hypotheses!$B$97)/Hypotheses!$B$99,0))*Hypotheses!$B$101)*12),Hypotheses!$A$56)*Hypotheses!$B$56+MAX(0,MIN(MAX(0,($A76*G$65*Calculateur!$B$54-Calculateur!$B$58-IF(Hypotheses!$B$100="proportionnel",MAX(0,($A76*Calculateur!$B$56+$A76*G$65*Calculateur!$B$57)-Hypotheses!$B$97)/Hypotheses!$B$99,ROUNDUP(MAX(0,($A76*Calculateur!$B$56+$A76*G$65*Calculateur!$B$57)-Hypotheses!$B$97)/Hypotheses!$B$99,0))*Hypotheses!$B$101)*12),Hypotheses!$A$57)-Hypotheses!$A$56)*Hypotheses!$B$57+MAX(0,MIN(MAX(0,($A76*G$65*Calculateur!$B$54-Calculateur!$B$58-IF(Hypotheses!$B$100="proportionnel",MAX(0,($A76*Calculateur!$B$56+$A76*G$65*Calculateur!$B$57)-Hypotheses!$B$97)/Hypotheses!$B$99,ROUNDUP(MAX(0,($A76*Calculateur!$B$56+$A76*G$65*Calculateur!$B$57)-Hypotheses!$B$97)/Hypotheses!$B$99,0))*Hypotheses!$B$101)*12),Hypotheses!$A$58)-Hypotheses!$A$57)*Hypotheses!$B$58+MAX(0,MAX(0,($A76*G$65*Calculateur!$B$54-Calculateur!$B$58-IF(Hypotheses!$B$100="proportionnel",MAX(0,($A76*Calculateur!$B$56+$A76*G$65*Calculateur!$B$57)-Hypotheses!$B$97)/Hypotheses!$B$99,ROUNDUP(MAX(0,($A76*Calculateur!$B$56+$A76*G$65*Calculateur!$B$57)-Hypotheses!$B$97)/Hypotheses!$B$99,0))*Hypotheses!$B$101)*12)-Hypotheses!$A$58)*Hypotheses!$B$59)*(1+Hypotheses!$B$60)*(1-Hypotheses!$B$61)/12)-MAX(0,(($A76*G$65*Calculateur!$B$54-Calculateur!$B$58-IF(Hypotheses!$B$100="proportionnel",MAX(0,($A76*Calculateur!$B$56+$A76*G$65*Calculateur!$B$57)-Hypotheses!$B$97)/Hypotheses!$B$99,ROUNDUP(MAX(0,($A76*Calculateur!$B$56+$A76*G$65*Calculateur!$B$57)-Hypotheses!$B$97)/Hypotheses!$B$99,0))*Hypotheses!$B$101)-(MIN(MAX(0,($A76*G$65*Calculateur!$B$54-Calculateur!$B$58-IF(Hypotheses!$B$100="proportionnel",MAX(0,($A76*Calculateur!$B$56+$A76*G$65*Calculateur!$B$57)-Hypotheses!$B$97)/Hypotheses!$B$99,ROUNDUP(MAX(0,($A76*Calculateur!$B$56+$A76*G$65*Calculateur!$B$57)-Hypotheses!$B$97)/Hypotheses!$B$99,0))*Hypotheses!$B$101)*12),Hypotheses!$A$56)*Hypotheses!$B$56+MAX(0,MIN(MAX(0,($A76*G$65*Calculateur!$B$54-Calculateur!$B$58-IF(Hypotheses!$B$100="proportionnel",MAX(0,($A76*Calculateur!$B$56+$A76*G$65*Calculateur!$B$57)-Hypotheses!$B$97)/Hypotheses!$B$99,ROUNDUP(MAX(0,($A76*Calculateur!$B$56+$A76*G$65*Calculateur!$B$57)-Hypotheses!$B$97)/Hypotheses!$B$99,0))*Hypotheses!$B$101)*12),Hypotheses!$A$57)-Hypotheses!$A$56)*Hypotheses!$B$57+MAX(0,MIN(MAX(0,($A76*G$65*Calculateur!$B$54-Calculateur!$B$58-IF(Hypotheses!$B$100="proportionnel",MAX(0,($A76*Calculateur!$B$56+$A76*G$65*Calculateur!$B$57)-Hypotheses!$B$97)/Hypotheses!$B$99,ROUNDUP(MAX(0,($A76*Calculateur!$B$56+$A76*G$65*Calculateur!$B$57)-Hypotheses!$B$97)/Hypotheses!$B$99,0))*Hypotheses!$B$101)*12),Hypotheses!$A$58)-Hypotheses!$A$57)*Hypotheses!$B$58+MAX(0,MAX(0,($A76*G$65*Calculateur!$B$54-Calculateur!$B$58-IF(Hypotheses!$B$100="proportionnel",MAX(0,($A76*Calculateur!$B$56+$A76*G$65*Calculateur!$B$57)-Hypotheses!$B$97)/Hypotheses!$B$99,ROUNDUP(MAX(0,($A76*Calculateur!$B$56+$A76*G$65*Calculateur!$B$57)-Hypotheses!$B$97)/Hypotheses!$B$99,0))*Hypotheses!$B$101)*12)-Hypotheses!$A$58)*Hypotheses!$B$59)*(1+Hypotheses!$B$60)*(1-Hypotheses!$B$61)/12))*Hypotheses!$B$65</f>
        <v/>
      </c>
      <c r="H76" s="21">
        <f>(($A76*H$65*Calculateur!$B$54-Calculateur!$B$58-IF(Hypotheses!$B$100="proportionnel",MAX(0,($A76*Calculateur!$B$56+$A76*H$65*Calculateur!$B$57)-Hypotheses!$B$97)/Hypotheses!$B$99,ROUNDUP(MAX(0,($A76*Calculateur!$B$56+$A76*H$65*Calculateur!$B$57)-Hypotheses!$B$97)/Hypotheses!$B$99,0))*Hypotheses!$B$101)-(MIN(MAX(0,($A76*H$65*Calculateur!$B$54-Calculateur!$B$58-IF(Hypotheses!$B$100="proportionnel",MAX(0,($A76*Calculateur!$B$56+$A76*H$65*Calculateur!$B$57)-Hypotheses!$B$97)/Hypotheses!$B$99,ROUNDUP(MAX(0,($A76*Calculateur!$B$56+$A76*H$65*Calculateur!$B$57)-Hypotheses!$B$97)/Hypotheses!$B$99,0))*Hypotheses!$B$101)*12),Hypotheses!$A$56)*Hypotheses!$B$56+MAX(0,MIN(MAX(0,($A76*H$65*Calculateur!$B$54-Calculateur!$B$58-IF(Hypotheses!$B$100="proportionnel",MAX(0,($A76*Calculateur!$B$56+$A76*H$65*Calculateur!$B$57)-Hypotheses!$B$97)/Hypotheses!$B$99,ROUNDUP(MAX(0,($A76*Calculateur!$B$56+$A76*H$65*Calculateur!$B$57)-Hypotheses!$B$97)/Hypotheses!$B$99,0))*Hypotheses!$B$101)*12),Hypotheses!$A$57)-Hypotheses!$A$56)*Hypotheses!$B$57+MAX(0,MIN(MAX(0,($A76*H$65*Calculateur!$B$54-Calculateur!$B$58-IF(Hypotheses!$B$100="proportionnel",MAX(0,($A76*Calculateur!$B$56+$A76*H$65*Calculateur!$B$57)-Hypotheses!$B$97)/Hypotheses!$B$99,ROUNDUP(MAX(0,($A76*Calculateur!$B$56+$A76*H$65*Calculateur!$B$57)-Hypotheses!$B$97)/Hypotheses!$B$99,0))*Hypotheses!$B$101)*12),Hypotheses!$A$58)-Hypotheses!$A$57)*Hypotheses!$B$58+MAX(0,MAX(0,($A76*H$65*Calculateur!$B$54-Calculateur!$B$58-IF(Hypotheses!$B$100="proportionnel",MAX(0,($A76*Calculateur!$B$56+$A76*H$65*Calculateur!$B$57)-Hypotheses!$B$97)/Hypotheses!$B$99,ROUNDUP(MAX(0,($A76*Calculateur!$B$56+$A76*H$65*Calculateur!$B$57)-Hypotheses!$B$97)/Hypotheses!$B$99,0))*Hypotheses!$B$101)*12)-Hypotheses!$A$58)*Hypotheses!$B$59)*(1+Hypotheses!$B$60)*(1-Hypotheses!$B$61)/12)-MAX(0,(($A76*H$65*Calculateur!$B$54-Calculateur!$B$58-IF(Hypotheses!$B$100="proportionnel",MAX(0,($A76*Calculateur!$B$56+$A76*H$65*Calculateur!$B$57)-Hypotheses!$B$97)/Hypotheses!$B$99,ROUNDUP(MAX(0,($A76*Calculateur!$B$56+$A76*H$65*Calculateur!$B$57)-Hypotheses!$B$97)/Hypotheses!$B$99,0))*Hypotheses!$B$101)-(MIN(MAX(0,($A76*H$65*Calculateur!$B$54-Calculateur!$B$58-IF(Hypotheses!$B$100="proportionnel",MAX(0,($A76*Calculateur!$B$56+$A76*H$65*Calculateur!$B$57)-Hypotheses!$B$97)/Hypotheses!$B$99,ROUNDUP(MAX(0,($A76*Calculateur!$B$56+$A76*H$65*Calculateur!$B$57)-Hypotheses!$B$97)/Hypotheses!$B$99,0))*Hypotheses!$B$101)*12),Hypotheses!$A$56)*Hypotheses!$B$56+MAX(0,MIN(MAX(0,($A76*H$65*Calculateur!$B$54-Calculateur!$B$58-IF(Hypotheses!$B$100="proportionnel",MAX(0,($A76*Calculateur!$B$56+$A76*H$65*Calculateur!$B$57)-Hypotheses!$B$97)/Hypotheses!$B$99,ROUNDUP(MAX(0,($A76*Calculateur!$B$56+$A76*H$65*Calculateur!$B$57)-Hypotheses!$B$97)/Hypotheses!$B$99,0))*Hypotheses!$B$101)*12),Hypotheses!$A$57)-Hypotheses!$A$56)*Hypotheses!$B$57+MAX(0,MIN(MAX(0,($A76*H$65*Calculateur!$B$54-Calculateur!$B$58-IF(Hypotheses!$B$100="proportionnel",MAX(0,($A76*Calculateur!$B$56+$A76*H$65*Calculateur!$B$57)-Hypotheses!$B$97)/Hypotheses!$B$99,ROUNDUP(MAX(0,($A76*Calculateur!$B$56+$A76*H$65*Calculateur!$B$57)-Hypotheses!$B$97)/Hypotheses!$B$99,0))*Hypotheses!$B$101)*12),Hypotheses!$A$58)-Hypotheses!$A$57)*Hypotheses!$B$58+MAX(0,MAX(0,($A76*H$65*Calculateur!$B$54-Calculateur!$B$58-IF(Hypotheses!$B$100="proportionnel",MAX(0,($A76*Calculateur!$B$56+$A76*H$65*Calculateur!$B$57)-Hypotheses!$B$97)/Hypotheses!$B$99,ROUNDUP(MAX(0,($A76*Calculateur!$B$56+$A76*H$65*Calculateur!$B$57)-Hypotheses!$B$97)/Hypotheses!$B$99,0))*Hypotheses!$B$101)*12)-Hypotheses!$A$58)*Hypotheses!$B$59)*(1+Hypotheses!$B$60)*(1-Hypotheses!$B$61)/12))*Hypotheses!$B$65</f>
        <v/>
      </c>
      <c r="I76" s="21">
        <f>(($A76*I$65*Calculateur!$B$54-Calculateur!$B$58-IF(Hypotheses!$B$100="proportionnel",MAX(0,($A76*Calculateur!$B$56+$A76*I$65*Calculateur!$B$57)-Hypotheses!$B$97)/Hypotheses!$B$99,ROUNDUP(MAX(0,($A76*Calculateur!$B$56+$A76*I$65*Calculateur!$B$57)-Hypotheses!$B$97)/Hypotheses!$B$99,0))*Hypotheses!$B$101)-(MIN(MAX(0,($A76*I$65*Calculateur!$B$54-Calculateur!$B$58-IF(Hypotheses!$B$100="proportionnel",MAX(0,($A76*Calculateur!$B$56+$A76*I$65*Calculateur!$B$57)-Hypotheses!$B$97)/Hypotheses!$B$99,ROUNDUP(MAX(0,($A76*Calculateur!$B$56+$A76*I$65*Calculateur!$B$57)-Hypotheses!$B$97)/Hypotheses!$B$99,0))*Hypotheses!$B$101)*12),Hypotheses!$A$56)*Hypotheses!$B$56+MAX(0,MIN(MAX(0,($A76*I$65*Calculateur!$B$54-Calculateur!$B$58-IF(Hypotheses!$B$100="proportionnel",MAX(0,($A76*Calculateur!$B$56+$A76*I$65*Calculateur!$B$57)-Hypotheses!$B$97)/Hypotheses!$B$99,ROUNDUP(MAX(0,($A76*Calculateur!$B$56+$A76*I$65*Calculateur!$B$57)-Hypotheses!$B$97)/Hypotheses!$B$99,0))*Hypotheses!$B$101)*12),Hypotheses!$A$57)-Hypotheses!$A$56)*Hypotheses!$B$57+MAX(0,MIN(MAX(0,($A76*I$65*Calculateur!$B$54-Calculateur!$B$58-IF(Hypotheses!$B$100="proportionnel",MAX(0,($A76*Calculateur!$B$56+$A76*I$65*Calculateur!$B$57)-Hypotheses!$B$97)/Hypotheses!$B$99,ROUNDUP(MAX(0,($A76*Calculateur!$B$56+$A76*I$65*Calculateur!$B$57)-Hypotheses!$B$97)/Hypotheses!$B$99,0))*Hypotheses!$B$101)*12),Hypotheses!$A$58)-Hypotheses!$A$57)*Hypotheses!$B$58+MAX(0,MAX(0,($A76*I$65*Calculateur!$B$54-Calculateur!$B$58-IF(Hypotheses!$B$100="proportionnel",MAX(0,($A76*Calculateur!$B$56+$A76*I$65*Calculateur!$B$57)-Hypotheses!$B$97)/Hypotheses!$B$99,ROUNDUP(MAX(0,($A76*Calculateur!$B$56+$A76*I$65*Calculateur!$B$57)-Hypotheses!$B$97)/Hypotheses!$B$99,0))*Hypotheses!$B$101)*12)-Hypotheses!$A$58)*Hypotheses!$B$59)*(1+Hypotheses!$B$60)*(1-Hypotheses!$B$61)/12)-MAX(0,(($A76*I$65*Calculateur!$B$54-Calculateur!$B$58-IF(Hypotheses!$B$100="proportionnel",MAX(0,($A76*Calculateur!$B$56+$A76*I$65*Calculateur!$B$57)-Hypotheses!$B$97)/Hypotheses!$B$99,ROUNDUP(MAX(0,($A76*Calculateur!$B$56+$A76*I$65*Calculateur!$B$57)-Hypotheses!$B$97)/Hypotheses!$B$99,0))*Hypotheses!$B$101)-(MIN(MAX(0,($A76*I$65*Calculateur!$B$54-Calculateur!$B$58-IF(Hypotheses!$B$100="proportionnel",MAX(0,($A76*Calculateur!$B$56+$A76*I$65*Calculateur!$B$57)-Hypotheses!$B$97)/Hypotheses!$B$99,ROUNDUP(MAX(0,($A76*Calculateur!$B$56+$A76*I$65*Calculateur!$B$57)-Hypotheses!$B$97)/Hypotheses!$B$99,0))*Hypotheses!$B$101)*12),Hypotheses!$A$56)*Hypotheses!$B$56+MAX(0,MIN(MAX(0,($A76*I$65*Calculateur!$B$54-Calculateur!$B$58-IF(Hypotheses!$B$100="proportionnel",MAX(0,($A76*Calculateur!$B$56+$A76*I$65*Calculateur!$B$57)-Hypotheses!$B$97)/Hypotheses!$B$99,ROUNDUP(MAX(0,($A76*Calculateur!$B$56+$A76*I$65*Calculateur!$B$57)-Hypotheses!$B$97)/Hypotheses!$B$99,0))*Hypotheses!$B$101)*12),Hypotheses!$A$57)-Hypotheses!$A$56)*Hypotheses!$B$57+MAX(0,MIN(MAX(0,($A76*I$65*Calculateur!$B$54-Calculateur!$B$58-IF(Hypotheses!$B$100="proportionnel",MAX(0,($A76*Calculateur!$B$56+$A76*I$65*Calculateur!$B$57)-Hypotheses!$B$97)/Hypotheses!$B$99,ROUNDUP(MAX(0,($A76*Calculateur!$B$56+$A76*I$65*Calculateur!$B$57)-Hypotheses!$B$97)/Hypotheses!$B$99,0))*Hypotheses!$B$101)*12),Hypotheses!$A$58)-Hypotheses!$A$57)*Hypotheses!$B$58+MAX(0,MAX(0,($A76*I$65*Calculateur!$B$54-Calculateur!$B$58-IF(Hypotheses!$B$100="proportionnel",MAX(0,($A76*Calculateur!$B$56+$A76*I$65*Calculateur!$B$57)-Hypotheses!$B$97)/Hypotheses!$B$99,ROUNDUP(MAX(0,($A76*Calculateur!$B$56+$A76*I$65*Calculateur!$B$57)-Hypotheses!$B$97)/Hypotheses!$B$99,0))*Hypotheses!$B$101)*12)-Hypotheses!$A$58)*Hypotheses!$B$59)*(1+Hypotheses!$B$60)*(1-Hypotheses!$B$61)/12))*Hypotheses!$B$65</f>
        <v/>
      </c>
    </row>
    <row r="77">
      <c r="A77" s="36" t="n">
        <v>200</v>
      </c>
      <c r="B77" s="21">
        <f>(($A77*B$65*Calculateur!$B$54-Calculateur!$B$58-IF(Hypotheses!$B$100="proportionnel",MAX(0,($A77*Calculateur!$B$56+$A77*B$65*Calculateur!$B$57)-Hypotheses!$B$97)/Hypotheses!$B$99,ROUNDUP(MAX(0,($A77*Calculateur!$B$56+$A77*B$65*Calculateur!$B$57)-Hypotheses!$B$97)/Hypotheses!$B$99,0))*Hypotheses!$B$101)-(MIN(MAX(0,($A77*B$65*Calculateur!$B$54-Calculateur!$B$58-IF(Hypotheses!$B$100="proportionnel",MAX(0,($A77*Calculateur!$B$56+$A77*B$65*Calculateur!$B$57)-Hypotheses!$B$97)/Hypotheses!$B$99,ROUNDUP(MAX(0,($A77*Calculateur!$B$56+$A77*B$65*Calculateur!$B$57)-Hypotheses!$B$97)/Hypotheses!$B$99,0))*Hypotheses!$B$101)*12),Hypotheses!$A$56)*Hypotheses!$B$56+MAX(0,MIN(MAX(0,($A77*B$65*Calculateur!$B$54-Calculateur!$B$58-IF(Hypotheses!$B$100="proportionnel",MAX(0,($A77*Calculateur!$B$56+$A77*B$65*Calculateur!$B$57)-Hypotheses!$B$97)/Hypotheses!$B$99,ROUNDUP(MAX(0,($A77*Calculateur!$B$56+$A77*B$65*Calculateur!$B$57)-Hypotheses!$B$97)/Hypotheses!$B$99,0))*Hypotheses!$B$101)*12),Hypotheses!$A$57)-Hypotheses!$A$56)*Hypotheses!$B$57+MAX(0,MIN(MAX(0,($A77*B$65*Calculateur!$B$54-Calculateur!$B$58-IF(Hypotheses!$B$100="proportionnel",MAX(0,($A77*Calculateur!$B$56+$A77*B$65*Calculateur!$B$57)-Hypotheses!$B$97)/Hypotheses!$B$99,ROUNDUP(MAX(0,($A77*Calculateur!$B$56+$A77*B$65*Calculateur!$B$57)-Hypotheses!$B$97)/Hypotheses!$B$99,0))*Hypotheses!$B$101)*12),Hypotheses!$A$58)-Hypotheses!$A$57)*Hypotheses!$B$58+MAX(0,MAX(0,($A77*B$65*Calculateur!$B$54-Calculateur!$B$58-IF(Hypotheses!$B$100="proportionnel",MAX(0,($A77*Calculateur!$B$56+$A77*B$65*Calculateur!$B$57)-Hypotheses!$B$97)/Hypotheses!$B$99,ROUNDUP(MAX(0,($A77*Calculateur!$B$56+$A77*B$65*Calculateur!$B$57)-Hypotheses!$B$97)/Hypotheses!$B$99,0))*Hypotheses!$B$101)*12)-Hypotheses!$A$58)*Hypotheses!$B$59)*(1+Hypotheses!$B$60)*(1-Hypotheses!$B$61)/12)-MAX(0,(($A77*B$65*Calculateur!$B$54-Calculateur!$B$58-IF(Hypotheses!$B$100="proportionnel",MAX(0,($A77*Calculateur!$B$56+$A77*B$65*Calculateur!$B$57)-Hypotheses!$B$97)/Hypotheses!$B$99,ROUNDUP(MAX(0,($A77*Calculateur!$B$56+$A77*B$65*Calculateur!$B$57)-Hypotheses!$B$97)/Hypotheses!$B$99,0))*Hypotheses!$B$101)-(MIN(MAX(0,($A77*B$65*Calculateur!$B$54-Calculateur!$B$58-IF(Hypotheses!$B$100="proportionnel",MAX(0,($A77*Calculateur!$B$56+$A77*B$65*Calculateur!$B$57)-Hypotheses!$B$97)/Hypotheses!$B$99,ROUNDUP(MAX(0,($A77*Calculateur!$B$56+$A77*B$65*Calculateur!$B$57)-Hypotheses!$B$97)/Hypotheses!$B$99,0))*Hypotheses!$B$101)*12),Hypotheses!$A$56)*Hypotheses!$B$56+MAX(0,MIN(MAX(0,($A77*B$65*Calculateur!$B$54-Calculateur!$B$58-IF(Hypotheses!$B$100="proportionnel",MAX(0,($A77*Calculateur!$B$56+$A77*B$65*Calculateur!$B$57)-Hypotheses!$B$97)/Hypotheses!$B$99,ROUNDUP(MAX(0,($A77*Calculateur!$B$56+$A77*B$65*Calculateur!$B$57)-Hypotheses!$B$97)/Hypotheses!$B$99,0))*Hypotheses!$B$101)*12),Hypotheses!$A$57)-Hypotheses!$A$56)*Hypotheses!$B$57+MAX(0,MIN(MAX(0,($A77*B$65*Calculateur!$B$54-Calculateur!$B$58-IF(Hypotheses!$B$100="proportionnel",MAX(0,($A77*Calculateur!$B$56+$A77*B$65*Calculateur!$B$57)-Hypotheses!$B$97)/Hypotheses!$B$99,ROUNDUP(MAX(0,($A77*Calculateur!$B$56+$A77*B$65*Calculateur!$B$57)-Hypotheses!$B$97)/Hypotheses!$B$99,0))*Hypotheses!$B$101)*12),Hypotheses!$A$58)-Hypotheses!$A$57)*Hypotheses!$B$58+MAX(0,MAX(0,($A77*B$65*Calculateur!$B$54-Calculateur!$B$58-IF(Hypotheses!$B$100="proportionnel",MAX(0,($A77*Calculateur!$B$56+$A77*B$65*Calculateur!$B$57)-Hypotheses!$B$97)/Hypotheses!$B$99,ROUNDUP(MAX(0,($A77*Calculateur!$B$56+$A77*B$65*Calculateur!$B$57)-Hypotheses!$B$97)/Hypotheses!$B$99,0))*Hypotheses!$B$101)*12)-Hypotheses!$A$58)*Hypotheses!$B$59)*(1+Hypotheses!$B$60)*(1-Hypotheses!$B$61)/12))*Hypotheses!$B$65</f>
        <v/>
      </c>
      <c r="C77" s="21">
        <f>(($A77*C$65*Calculateur!$B$54-Calculateur!$B$58-IF(Hypotheses!$B$100="proportionnel",MAX(0,($A77*Calculateur!$B$56+$A77*C$65*Calculateur!$B$57)-Hypotheses!$B$97)/Hypotheses!$B$99,ROUNDUP(MAX(0,($A77*Calculateur!$B$56+$A77*C$65*Calculateur!$B$57)-Hypotheses!$B$97)/Hypotheses!$B$99,0))*Hypotheses!$B$101)-(MIN(MAX(0,($A77*C$65*Calculateur!$B$54-Calculateur!$B$58-IF(Hypotheses!$B$100="proportionnel",MAX(0,($A77*Calculateur!$B$56+$A77*C$65*Calculateur!$B$57)-Hypotheses!$B$97)/Hypotheses!$B$99,ROUNDUP(MAX(0,($A77*Calculateur!$B$56+$A77*C$65*Calculateur!$B$57)-Hypotheses!$B$97)/Hypotheses!$B$99,0))*Hypotheses!$B$101)*12),Hypotheses!$A$56)*Hypotheses!$B$56+MAX(0,MIN(MAX(0,($A77*C$65*Calculateur!$B$54-Calculateur!$B$58-IF(Hypotheses!$B$100="proportionnel",MAX(0,($A77*Calculateur!$B$56+$A77*C$65*Calculateur!$B$57)-Hypotheses!$B$97)/Hypotheses!$B$99,ROUNDUP(MAX(0,($A77*Calculateur!$B$56+$A77*C$65*Calculateur!$B$57)-Hypotheses!$B$97)/Hypotheses!$B$99,0))*Hypotheses!$B$101)*12),Hypotheses!$A$57)-Hypotheses!$A$56)*Hypotheses!$B$57+MAX(0,MIN(MAX(0,($A77*C$65*Calculateur!$B$54-Calculateur!$B$58-IF(Hypotheses!$B$100="proportionnel",MAX(0,($A77*Calculateur!$B$56+$A77*C$65*Calculateur!$B$57)-Hypotheses!$B$97)/Hypotheses!$B$99,ROUNDUP(MAX(0,($A77*Calculateur!$B$56+$A77*C$65*Calculateur!$B$57)-Hypotheses!$B$97)/Hypotheses!$B$99,0))*Hypotheses!$B$101)*12),Hypotheses!$A$58)-Hypotheses!$A$57)*Hypotheses!$B$58+MAX(0,MAX(0,($A77*C$65*Calculateur!$B$54-Calculateur!$B$58-IF(Hypotheses!$B$100="proportionnel",MAX(0,($A77*Calculateur!$B$56+$A77*C$65*Calculateur!$B$57)-Hypotheses!$B$97)/Hypotheses!$B$99,ROUNDUP(MAX(0,($A77*Calculateur!$B$56+$A77*C$65*Calculateur!$B$57)-Hypotheses!$B$97)/Hypotheses!$B$99,0))*Hypotheses!$B$101)*12)-Hypotheses!$A$58)*Hypotheses!$B$59)*(1+Hypotheses!$B$60)*(1-Hypotheses!$B$61)/12)-MAX(0,(($A77*C$65*Calculateur!$B$54-Calculateur!$B$58-IF(Hypotheses!$B$100="proportionnel",MAX(0,($A77*Calculateur!$B$56+$A77*C$65*Calculateur!$B$57)-Hypotheses!$B$97)/Hypotheses!$B$99,ROUNDUP(MAX(0,($A77*Calculateur!$B$56+$A77*C$65*Calculateur!$B$57)-Hypotheses!$B$97)/Hypotheses!$B$99,0))*Hypotheses!$B$101)-(MIN(MAX(0,($A77*C$65*Calculateur!$B$54-Calculateur!$B$58-IF(Hypotheses!$B$100="proportionnel",MAX(0,($A77*Calculateur!$B$56+$A77*C$65*Calculateur!$B$57)-Hypotheses!$B$97)/Hypotheses!$B$99,ROUNDUP(MAX(0,($A77*Calculateur!$B$56+$A77*C$65*Calculateur!$B$57)-Hypotheses!$B$97)/Hypotheses!$B$99,0))*Hypotheses!$B$101)*12),Hypotheses!$A$56)*Hypotheses!$B$56+MAX(0,MIN(MAX(0,($A77*C$65*Calculateur!$B$54-Calculateur!$B$58-IF(Hypotheses!$B$100="proportionnel",MAX(0,($A77*Calculateur!$B$56+$A77*C$65*Calculateur!$B$57)-Hypotheses!$B$97)/Hypotheses!$B$99,ROUNDUP(MAX(0,($A77*Calculateur!$B$56+$A77*C$65*Calculateur!$B$57)-Hypotheses!$B$97)/Hypotheses!$B$99,0))*Hypotheses!$B$101)*12),Hypotheses!$A$57)-Hypotheses!$A$56)*Hypotheses!$B$57+MAX(0,MIN(MAX(0,($A77*C$65*Calculateur!$B$54-Calculateur!$B$58-IF(Hypotheses!$B$100="proportionnel",MAX(0,($A77*Calculateur!$B$56+$A77*C$65*Calculateur!$B$57)-Hypotheses!$B$97)/Hypotheses!$B$99,ROUNDUP(MAX(0,($A77*Calculateur!$B$56+$A77*C$65*Calculateur!$B$57)-Hypotheses!$B$97)/Hypotheses!$B$99,0))*Hypotheses!$B$101)*12),Hypotheses!$A$58)-Hypotheses!$A$57)*Hypotheses!$B$58+MAX(0,MAX(0,($A77*C$65*Calculateur!$B$54-Calculateur!$B$58-IF(Hypotheses!$B$100="proportionnel",MAX(0,($A77*Calculateur!$B$56+$A77*C$65*Calculateur!$B$57)-Hypotheses!$B$97)/Hypotheses!$B$99,ROUNDUP(MAX(0,($A77*Calculateur!$B$56+$A77*C$65*Calculateur!$B$57)-Hypotheses!$B$97)/Hypotheses!$B$99,0))*Hypotheses!$B$101)*12)-Hypotheses!$A$58)*Hypotheses!$B$59)*(1+Hypotheses!$B$60)*(1-Hypotheses!$B$61)/12))*Hypotheses!$B$65</f>
        <v/>
      </c>
      <c r="D77" s="21">
        <f>(($A77*D$65*Calculateur!$B$54-Calculateur!$B$58-IF(Hypotheses!$B$100="proportionnel",MAX(0,($A77*Calculateur!$B$56+$A77*D$65*Calculateur!$B$57)-Hypotheses!$B$97)/Hypotheses!$B$99,ROUNDUP(MAX(0,($A77*Calculateur!$B$56+$A77*D$65*Calculateur!$B$57)-Hypotheses!$B$97)/Hypotheses!$B$99,0))*Hypotheses!$B$101)-(MIN(MAX(0,($A77*D$65*Calculateur!$B$54-Calculateur!$B$58-IF(Hypotheses!$B$100="proportionnel",MAX(0,($A77*Calculateur!$B$56+$A77*D$65*Calculateur!$B$57)-Hypotheses!$B$97)/Hypotheses!$B$99,ROUNDUP(MAX(0,($A77*Calculateur!$B$56+$A77*D$65*Calculateur!$B$57)-Hypotheses!$B$97)/Hypotheses!$B$99,0))*Hypotheses!$B$101)*12),Hypotheses!$A$56)*Hypotheses!$B$56+MAX(0,MIN(MAX(0,($A77*D$65*Calculateur!$B$54-Calculateur!$B$58-IF(Hypotheses!$B$100="proportionnel",MAX(0,($A77*Calculateur!$B$56+$A77*D$65*Calculateur!$B$57)-Hypotheses!$B$97)/Hypotheses!$B$99,ROUNDUP(MAX(0,($A77*Calculateur!$B$56+$A77*D$65*Calculateur!$B$57)-Hypotheses!$B$97)/Hypotheses!$B$99,0))*Hypotheses!$B$101)*12),Hypotheses!$A$57)-Hypotheses!$A$56)*Hypotheses!$B$57+MAX(0,MIN(MAX(0,($A77*D$65*Calculateur!$B$54-Calculateur!$B$58-IF(Hypotheses!$B$100="proportionnel",MAX(0,($A77*Calculateur!$B$56+$A77*D$65*Calculateur!$B$57)-Hypotheses!$B$97)/Hypotheses!$B$99,ROUNDUP(MAX(0,($A77*Calculateur!$B$56+$A77*D$65*Calculateur!$B$57)-Hypotheses!$B$97)/Hypotheses!$B$99,0))*Hypotheses!$B$101)*12),Hypotheses!$A$58)-Hypotheses!$A$57)*Hypotheses!$B$58+MAX(0,MAX(0,($A77*D$65*Calculateur!$B$54-Calculateur!$B$58-IF(Hypotheses!$B$100="proportionnel",MAX(0,($A77*Calculateur!$B$56+$A77*D$65*Calculateur!$B$57)-Hypotheses!$B$97)/Hypotheses!$B$99,ROUNDUP(MAX(0,($A77*Calculateur!$B$56+$A77*D$65*Calculateur!$B$57)-Hypotheses!$B$97)/Hypotheses!$B$99,0))*Hypotheses!$B$101)*12)-Hypotheses!$A$58)*Hypotheses!$B$59)*(1+Hypotheses!$B$60)*(1-Hypotheses!$B$61)/12)-MAX(0,(($A77*D$65*Calculateur!$B$54-Calculateur!$B$58-IF(Hypotheses!$B$100="proportionnel",MAX(0,($A77*Calculateur!$B$56+$A77*D$65*Calculateur!$B$57)-Hypotheses!$B$97)/Hypotheses!$B$99,ROUNDUP(MAX(0,($A77*Calculateur!$B$56+$A77*D$65*Calculateur!$B$57)-Hypotheses!$B$97)/Hypotheses!$B$99,0))*Hypotheses!$B$101)-(MIN(MAX(0,($A77*D$65*Calculateur!$B$54-Calculateur!$B$58-IF(Hypotheses!$B$100="proportionnel",MAX(0,($A77*Calculateur!$B$56+$A77*D$65*Calculateur!$B$57)-Hypotheses!$B$97)/Hypotheses!$B$99,ROUNDUP(MAX(0,($A77*Calculateur!$B$56+$A77*D$65*Calculateur!$B$57)-Hypotheses!$B$97)/Hypotheses!$B$99,0))*Hypotheses!$B$101)*12),Hypotheses!$A$56)*Hypotheses!$B$56+MAX(0,MIN(MAX(0,($A77*D$65*Calculateur!$B$54-Calculateur!$B$58-IF(Hypotheses!$B$100="proportionnel",MAX(0,($A77*Calculateur!$B$56+$A77*D$65*Calculateur!$B$57)-Hypotheses!$B$97)/Hypotheses!$B$99,ROUNDUP(MAX(0,($A77*Calculateur!$B$56+$A77*D$65*Calculateur!$B$57)-Hypotheses!$B$97)/Hypotheses!$B$99,0))*Hypotheses!$B$101)*12),Hypotheses!$A$57)-Hypotheses!$A$56)*Hypotheses!$B$57+MAX(0,MIN(MAX(0,($A77*D$65*Calculateur!$B$54-Calculateur!$B$58-IF(Hypotheses!$B$100="proportionnel",MAX(0,($A77*Calculateur!$B$56+$A77*D$65*Calculateur!$B$57)-Hypotheses!$B$97)/Hypotheses!$B$99,ROUNDUP(MAX(0,($A77*Calculateur!$B$56+$A77*D$65*Calculateur!$B$57)-Hypotheses!$B$97)/Hypotheses!$B$99,0))*Hypotheses!$B$101)*12),Hypotheses!$A$58)-Hypotheses!$A$57)*Hypotheses!$B$58+MAX(0,MAX(0,($A77*D$65*Calculateur!$B$54-Calculateur!$B$58-IF(Hypotheses!$B$100="proportionnel",MAX(0,($A77*Calculateur!$B$56+$A77*D$65*Calculateur!$B$57)-Hypotheses!$B$97)/Hypotheses!$B$99,ROUNDUP(MAX(0,($A77*Calculateur!$B$56+$A77*D$65*Calculateur!$B$57)-Hypotheses!$B$97)/Hypotheses!$B$99,0))*Hypotheses!$B$101)*12)-Hypotheses!$A$58)*Hypotheses!$B$59)*(1+Hypotheses!$B$60)*(1-Hypotheses!$B$61)/12))*Hypotheses!$B$65</f>
        <v/>
      </c>
      <c r="E77" s="21">
        <f>(($A77*E$65*Calculateur!$B$54-Calculateur!$B$58-IF(Hypotheses!$B$100="proportionnel",MAX(0,($A77*Calculateur!$B$56+$A77*E$65*Calculateur!$B$57)-Hypotheses!$B$97)/Hypotheses!$B$99,ROUNDUP(MAX(0,($A77*Calculateur!$B$56+$A77*E$65*Calculateur!$B$57)-Hypotheses!$B$97)/Hypotheses!$B$99,0))*Hypotheses!$B$101)-(MIN(MAX(0,($A77*E$65*Calculateur!$B$54-Calculateur!$B$58-IF(Hypotheses!$B$100="proportionnel",MAX(0,($A77*Calculateur!$B$56+$A77*E$65*Calculateur!$B$57)-Hypotheses!$B$97)/Hypotheses!$B$99,ROUNDUP(MAX(0,($A77*Calculateur!$B$56+$A77*E$65*Calculateur!$B$57)-Hypotheses!$B$97)/Hypotheses!$B$99,0))*Hypotheses!$B$101)*12),Hypotheses!$A$56)*Hypotheses!$B$56+MAX(0,MIN(MAX(0,($A77*E$65*Calculateur!$B$54-Calculateur!$B$58-IF(Hypotheses!$B$100="proportionnel",MAX(0,($A77*Calculateur!$B$56+$A77*E$65*Calculateur!$B$57)-Hypotheses!$B$97)/Hypotheses!$B$99,ROUNDUP(MAX(0,($A77*Calculateur!$B$56+$A77*E$65*Calculateur!$B$57)-Hypotheses!$B$97)/Hypotheses!$B$99,0))*Hypotheses!$B$101)*12),Hypotheses!$A$57)-Hypotheses!$A$56)*Hypotheses!$B$57+MAX(0,MIN(MAX(0,($A77*E$65*Calculateur!$B$54-Calculateur!$B$58-IF(Hypotheses!$B$100="proportionnel",MAX(0,($A77*Calculateur!$B$56+$A77*E$65*Calculateur!$B$57)-Hypotheses!$B$97)/Hypotheses!$B$99,ROUNDUP(MAX(0,($A77*Calculateur!$B$56+$A77*E$65*Calculateur!$B$57)-Hypotheses!$B$97)/Hypotheses!$B$99,0))*Hypotheses!$B$101)*12),Hypotheses!$A$58)-Hypotheses!$A$57)*Hypotheses!$B$58+MAX(0,MAX(0,($A77*E$65*Calculateur!$B$54-Calculateur!$B$58-IF(Hypotheses!$B$100="proportionnel",MAX(0,($A77*Calculateur!$B$56+$A77*E$65*Calculateur!$B$57)-Hypotheses!$B$97)/Hypotheses!$B$99,ROUNDUP(MAX(0,($A77*Calculateur!$B$56+$A77*E$65*Calculateur!$B$57)-Hypotheses!$B$97)/Hypotheses!$B$99,0))*Hypotheses!$B$101)*12)-Hypotheses!$A$58)*Hypotheses!$B$59)*(1+Hypotheses!$B$60)*(1-Hypotheses!$B$61)/12)-MAX(0,(($A77*E$65*Calculateur!$B$54-Calculateur!$B$58-IF(Hypotheses!$B$100="proportionnel",MAX(0,($A77*Calculateur!$B$56+$A77*E$65*Calculateur!$B$57)-Hypotheses!$B$97)/Hypotheses!$B$99,ROUNDUP(MAX(0,($A77*Calculateur!$B$56+$A77*E$65*Calculateur!$B$57)-Hypotheses!$B$97)/Hypotheses!$B$99,0))*Hypotheses!$B$101)-(MIN(MAX(0,($A77*E$65*Calculateur!$B$54-Calculateur!$B$58-IF(Hypotheses!$B$100="proportionnel",MAX(0,($A77*Calculateur!$B$56+$A77*E$65*Calculateur!$B$57)-Hypotheses!$B$97)/Hypotheses!$B$99,ROUNDUP(MAX(0,($A77*Calculateur!$B$56+$A77*E$65*Calculateur!$B$57)-Hypotheses!$B$97)/Hypotheses!$B$99,0))*Hypotheses!$B$101)*12),Hypotheses!$A$56)*Hypotheses!$B$56+MAX(0,MIN(MAX(0,($A77*E$65*Calculateur!$B$54-Calculateur!$B$58-IF(Hypotheses!$B$100="proportionnel",MAX(0,($A77*Calculateur!$B$56+$A77*E$65*Calculateur!$B$57)-Hypotheses!$B$97)/Hypotheses!$B$99,ROUNDUP(MAX(0,($A77*Calculateur!$B$56+$A77*E$65*Calculateur!$B$57)-Hypotheses!$B$97)/Hypotheses!$B$99,0))*Hypotheses!$B$101)*12),Hypotheses!$A$57)-Hypotheses!$A$56)*Hypotheses!$B$57+MAX(0,MIN(MAX(0,($A77*E$65*Calculateur!$B$54-Calculateur!$B$58-IF(Hypotheses!$B$100="proportionnel",MAX(0,($A77*Calculateur!$B$56+$A77*E$65*Calculateur!$B$57)-Hypotheses!$B$97)/Hypotheses!$B$99,ROUNDUP(MAX(0,($A77*Calculateur!$B$56+$A77*E$65*Calculateur!$B$57)-Hypotheses!$B$97)/Hypotheses!$B$99,0))*Hypotheses!$B$101)*12),Hypotheses!$A$58)-Hypotheses!$A$57)*Hypotheses!$B$58+MAX(0,MAX(0,($A77*E$65*Calculateur!$B$54-Calculateur!$B$58-IF(Hypotheses!$B$100="proportionnel",MAX(0,($A77*Calculateur!$B$56+$A77*E$65*Calculateur!$B$57)-Hypotheses!$B$97)/Hypotheses!$B$99,ROUNDUP(MAX(0,($A77*Calculateur!$B$56+$A77*E$65*Calculateur!$B$57)-Hypotheses!$B$97)/Hypotheses!$B$99,0))*Hypotheses!$B$101)*12)-Hypotheses!$A$58)*Hypotheses!$B$59)*(1+Hypotheses!$B$60)*(1-Hypotheses!$B$61)/12))*Hypotheses!$B$65</f>
        <v/>
      </c>
      <c r="F77" s="21">
        <f>(($A77*F$65*Calculateur!$B$54-Calculateur!$B$58-IF(Hypotheses!$B$100="proportionnel",MAX(0,($A77*Calculateur!$B$56+$A77*F$65*Calculateur!$B$57)-Hypotheses!$B$97)/Hypotheses!$B$99,ROUNDUP(MAX(0,($A77*Calculateur!$B$56+$A77*F$65*Calculateur!$B$57)-Hypotheses!$B$97)/Hypotheses!$B$99,0))*Hypotheses!$B$101)-(MIN(MAX(0,($A77*F$65*Calculateur!$B$54-Calculateur!$B$58-IF(Hypotheses!$B$100="proportionnel",MAX(0,($A77*Calculateur!$B$56+$A77*F$65*Calculateur!$B$57)-Hypotheses!$B$97)/Hypotheses!$B$99,ROUNDUP(MAX(0,($A77*Calculateur!$B$56+$A77*F$65*Calculateur!$B$57)-Hypotheses!$B$97)/Hypotheses!$B$99,0))*Hypotheses!$B$101)*12),Hypotheses!$A$56)*Hypotheses!$B$56+MAX(0,MIN(MAX(0,($A77*F$65*Calculateur!$B$54-Calculateur!$B$58-IF(Hypotheses!$B$100="proportionnel",MAX(0,($A77*Calculateur!$B$56+$A77*F$65*Calculateur!$B$57)-Hypotheses!$B$97)/Hypotheses!$B$99,ROUNDUP(MAX(0,($A77*Calculateur!$B$56+$A77*F$65*Calculateur!$B$57)-Hypotheses!$B$97)/Hypotheses!$B$99,0))*Hypotheses!$B$101)*12),Hypotheses!$A$57)-Hypotheses!$A$56)*Hypotheses!$B$57+MAX(0,MIN(MAX(0,($A77*F$65*Calculateur!$B$54-Calculateur!$B$58-IF(Hypotheses!$B$100="proportionnel",MAX(0,($A77*Calculateur!$B$56+$A77*F$65*Calculateur!$B$57)-Hypotheses!$B$97)/Hypotheses!$B$99,ROUNDUP(MAX(0,($A77*Calculateur!$B$56+$A77*F$65*Calculateur!$B$57)-Hypotheses!$B$97)/Hypotheses!$B$99,0))*Hypotheses!$B$101)*12),Hypotheses!$A$58)-Hypotheses!$A$57)*Hypotheses!$B$58+MAX(0,MAX(0,($A77*F$65*Calculateur!$B$54-Calculateur!$B$58-IF(Hypotheses!$B$100="proportionnel",MAX(0,($A77*Calculateur!$B$56+$A77*F$65*Calculateur!$B$57)-Hypotheses!$B$97)/Hypotheses!$B$99,ROUNDUP(MAX(0,($A77*Calculateur!$B$56+$A77*F$65*Calculateur!$B$57)-Hypotheses!$B$97)/Hypotheses!$B$99,0))*Hypotheses!$B$101)*12)-Hypotheses!$A$58)*Hypotheses!$B$59)*(1+Hypotheses!$B$60)*(1-Hypotheses!$B$61)/12)-MAX(0,(($A77*F$65*Calculateur!$B$54-Calculateur!$B$58-IF(Hypotheses!$B$100="proportionnel",MAX(0,($A77*Calculateur!$B$56+$A77*F$65*Calculateur!$B$57)-Hypotheses!$B$97)/Hypotheses!$B$99,ROUNDUP(MAX(0,($A77*Calculateur!$B$56+$A77*F$65*Calculateur!$B$57)-Hypotheses!$B$97)/Hypotheses!$B$99,0))*Hypotheses!$B$101)-(MIN(MAX(0,($A77*F$65*Calculateur!$B$54-Calculateur!$B$58-IF(Hypotheses!$B$100="proportionnel",MAX(0,($A77*Calculateur!$B$56+$A77*F$65*Calculateur!$B$57)-Hypotheses!$B$97)/Hypotheses!$B$99,ROUNDUP(MAX(0,($A77*Calculateur!$B$56+$A77*F$65*Calculateur!$B$57)-Hypotheses!$B$97)/Hypotheses!$B$99,0))*Hypotheses!$B$101)*12),Hypotheses!$A$56)*Hypotheses!$B$56+MAX(0,MIN(MAX(0,($A77*F$65*Calculateur!$B$54-Calculateur!$B$58-IF(Hypotheses!$B$100="proportionnel",MAX(0,($A77*Calculateur!$B$56+$A77*F$65*Calculateur!$B$57)-Hypotheses!$B$97)/Hypotheses!$B$99,ROUNDUP(MAX(0,($A77*Calculateur!$B$56+$A77*F$65*Calculateur!$B$57)-Hypotheses!$B$97)/Hypotheses!$B$99,0))*Hypotheses!$B$101)*12),Hypotheses!$A$57)-Hypotheses!$A$56)*Hypotheses!$B$57+MAX(0,MIN(MAX(0,($A77*F$65*Calculateur!$B$54-Calculateur!$B$58-IF(Hypotheses!$B$100="proportionnel",MAX(0,($A77*Calculateur!$B$56+$A77*F$65*Calculateur!$B$57)-Hypotheses!$B$97)/Hypotheses!$B$99,ROUNDUP(MAX(0,($A77*Calculateur!$B$56+$A77*F$65*Calculateur!$B$57)-Hypotheses!$B$97)/Hypotheses!$B$99,0))*Hypotheses!$B$101)*12),Hypotheses!$A$58)-Hypotheses!$A$57)*Hypotheses!$B$58+MAX(0,MAX(0,($A77*F$65*Calculateur!$B$54-Calculateur!$B$58-IF(Hypotheses!$B$100="proportionnel",MAX(0,($A77*Calculateur!$B$56+$A77*F$65*Calculateur!$B$57)-Hypotheses!$B$97)/Hypotheses!$B$99,ROUNDUP(MAX(0,($A77*Calculateur!$B$56+$A77*F$65*Calculateur!$B$57)-Hypotheses!$B$97)/Hypotheses!$B$99,0))*Hypotheses!$B$101)*12)-Hypotheses!$A$58)*Hypotheses!$B$59)*(1+Hypotheses!$B$60)*(1-Hypotheses!$B$61)/12))*Hypotheses!$B$65</f>
        <v/>
      </c>
      <c r="G77" s="21">
        <f>(($A77*G$65*Calculateur!$B$54-Calculateur!$B$58-IF(Hypotheses!$B$100="proportionnel",MAX(0,($A77*Calculateur!$B$56+$A77*G$65*Calculateur!$B$57)-Hypotheses!$B$97)/Hypotheses!$B$99,ROUNDUP(MAX(0,($A77*Calculateur!$B$56+$A77*G$65*Calculateur!$B$57)-Hypotheses!$B$97)/Hypotheses!$B$99,0))*Hypotheses!$B$101)-(MIN(MAX(0,($A77*G$65*Calculateur!$B$54-Calculateur!$B$58-IF(Hypotheses!$B$100="proportionnel",MAX(0,($A77*Calculateur!$B$56+$A77*G$65*Calculateur!$B$57)-Hypotheses!$B$97)/Hypotheses!$B$99,ROUNDUP(MAX(0,($A77*Calculateur!$B$56+$A77*G$65*Calculateur!$B$57)-Hypotheses!$B$97)/Hypotheses!$B$99,0))*Hypotheses!$B$101)*12),Hypotheses!$A$56)*Hypotheses!$B$56+MAX(0,MIN(MAX(0,($A77*G$65*Calculateur!$B$54-Calculateur!$B$58-IF(Hypotheses!$B$100="proportionnel",MAX(0,($A77*Calculateur!$B$56+$A77*G$65*Calculateur!$B$57)-Hypotheses!$B$97)/Hypotheses!$B$99,ROUNDUP(MAX(0,($A77*Calculateur!$B$56+$A77*G$65*Calculateur!$B$57)-Hypotheses!$B$97)/Hypotheses!$B$99,0))*Hypotheses!$B$101)*12),Hypotheses!$A$57)-Hypotheses!$A$56)*Hypotheses!$B$57+MAX(0,MIN(MAX(0,($A77*G$65*Calculateur!$B$54-Calculateur!$B$58-IF(Hypotheses!$B$100="proportionnel",MAX(0,($A77*Calculateur!$B$56+$A77*G$65*Calculateur!$B$57)-Hypotheses!$B$97)/Hypotheses!$B$99,ROUNDUP(MAX(0,($A77*Calculateur!$B$56+$A77*G$65*Calculateur!$B$57)-Hypotheses!$B$97)/Hypotheses!$B$99,0))*Hypotheses!$B$101)*12),Hypotheses!$A$58)-Hypotheses!$A$57)*Hypotheses!$B$58+MAX(0,MAX(0,($A77*G$65*Calculateur!$B$54-Calculateur!$B$58-IF(Hypotheses!$B$100="proportionnel",MAX(0,($A77*Calculateur!$B$56+$A77*G$65*Calculateur!$B$57)-Hypotheses!$B$97)/Hypotheses!$B$99,ROUNDUP(MAX(0,($A77*Calculateur!$B$56+$A77*G$65*Calculateur!$B$57)-Hypotheses!$B$97)/Hypotheses!$B$99,0))*Hypotheses!$B$101)*12)-Hypotheses!$A$58)*Hypotheses!$B$59)*(1+Hypotheses!$B$60)*(1-Hypotheses!$B$61)/12)-MAX(0,(($A77*G$65*Calculateur!$B$54-Calculateur!$B$58-IF(Hypotheses!$B$100="proportionnel",MAX(0,($A77*Calculateur!$B$56+$A77*G$65*Calculateur!$B$57)-Hypotheses!$B$97)/Hypotheses!$B$99,ROUNDUP(MAX(0,($A77*Calculateur!$B$56+$A77*G$65*Calculateur!$B$57)-Hypotheses!$B$97)/Hypotheses!$B$99,0))*Hypotheses!$B$101)-(MIN(MAX(0,($A77*G$65*Calculateur!$B$54-Calculateur!$B$58-IF(Hypotheses!$B$100="proportionnel",MAX(0,($A77*Calculateur!$B$56+$A77*G$65*Calculateur!$B$57)-Hypotheses!$B$97)/Hypotheses!$B$99,ROUNDUP(MAX(0,($A77*Calculateur!$B$56+$A77*G$65*Calculateur!$B$57)-Hypotheses!$B$97)/Hypotheses!$B$99,0))*Hypotheses!$B$101)*12),Hypotheses!$A$56)*Hypotheses!$B$56+MAX(0,MIN(MAX(0,($A77*G$65*Calculateur!$B$54-Calculateur!$B$58-IF(Hypotheses!$B$100="proportionnel",MAX(0,($A77*Calculateur!$B$56+$A77*G$65*Calculateur!$B$57)-Hypotheses!$B$97)/Hypotheses!$B$99,ROUNDUP(MAX(0,($A77*Calculateur!$B$56+$A77*G$65*Calculateur!$B$57)-Hypotheses!$B$97)/Hypotheses!$B$99,0))*Hypotheses!$B$101)*12),Hypotheses!$A$57)-Hypotheses!$A$56)*Hypotheses!$B$57+MAX(0,MIN(MAX(0,($A77*G$65*Calculateur!$B$54-Calculateur!$B$58-IF(Hypotheses!$B$100="proportionnel",MAX(0,($A77*Calculateur!$B$56+$A77*G$65*Calculateur!$B$57)-Hypotheses!$B$97)/Hypotheses!$B$99,ROUNDUP(MAX(0,($A77*Calculateur!$B$56+$A77*G$65*Calculateur!$B$57)-Hypotheses!$B$97)/Hypotheses!$B$99,0))*Hypotheses!$B$101)*12),Hypotheses!$A$58)-Hypotheses!$A$57)*Hypotheses!$B$58+MAX(0,MAX(0,($A77*G$65*Calculateur!$B$54-Calculateur!$B$58-IF(Hypotheses!$B$100="proportionnel",MAX(0,($A77*Calculateur!$B$56+$A77*G$65*Calculateur!$B$57)-Hypotheses!$B$97)/Hypotheses!$B$99,ROUNDUP(MAX(0,($A77*Calculateur!$B$56+$A77*G$65*Calculateur!$B$57)-Hypotheses!$B$97)/Hypotheses!$B$99,0))*Hypotheses!$B$101)*12)-Hypotheses!$A$58)*Hypotheses!$B$59)*(1+Hypotheses!$B$60)*(1-Hypotheses!$B$61)/12))*Hypotheses!$B$65</f>
        <v/>
      </c>
      <c r="H77" s="21">
        <f>(($A77*H$65*Calculateur!$B$54-Calculateur!$B$58-IF(Hypotheses!$B$100="proportionnel",MAX(0,($A77*Calculateur!$B$56+$A77*H$65*Calculateur!$B$57)-Hypotheses!$B$97)/Hypotheses!$B$99,ROUNDUP(MAX(0,($A77*Calculateur!$B$56+$A77*H$65*Calculateur!$B$57)-Hypotheses!$B$97)/Hypotheses!$B$99,0))*Hypotheses!$B$101)-(MIN(MAX(0,($A77*H$65*Calculateur!$B$54-Calculateur!$B$58-IF(Hypotheses!$B$100="proportionnel",MAX(0,($A77*Calculateur!$B$56+$A77*H$65*Calculateur!$B$57)-Hypotheses!$B$97)/Hypotheses!$B$99,ROUNDUP(MAX(0,($A77*Calculateur!$B$56+$A77*H$65*Calculateur!$B$57)-Hypotheses!$B$97)/Hypotheses!$B$99,0))*Hypotheses!$B$101)*12),Hypotheses!$A$56)*Hypotheses!$B$56+MAX(0,MIN(MAX(0,($A77*H$65*Calculateur!$B$54-Calculateur!$B$58-IF(Hypotheses!$B$100="proportionnel",MAX(0,($A77*Calculateur!$B$56+$A77*H$65*Calculateur!$B$57)-Hypotheses!$B$97)/Hypotheses!$B$99,ROUNDUP(MAX(0,($A77*Calculateur!$B$56+$A77*H$65*Calculateur!$B$57)-Hypotheses!$B$97)/Hypotheses!$B$99,0))*Hypotheses!$B$101)*12),Hypotheses!$A$57)-Hypotheses!$A$56)*Hypotheses!$B$57+MAX(0,MIN(MAX(0,($A77*H$65*Calculateur!$B$54-Calculateur!$B$58-IF(Hypotheses!$B$100="proportionnel",MAX(0,($A77*Calculateur!$B$56+$A77*H$65*Calculateur!$B$57)-Hypotheses!$B$97)/Hypotheses!$B$99,ROUNDUP(MAX(0,($A77*Calculateur!$B$56+$A77*H$65*Calculateur!$B$57)-Hypotheses!$B$97)/Hypotheses!$B$99,0))*Hypotheses!$B$101)*12),Hypotheses!$A$58)-Hypotheses!$A$57)*Hypotheses!$B$58+MAX(0,MAX(0,($A77*H$65*Calculateur!$B$54-Calculateur!$B$58-IF(Hypotheses!$B$100="proportionnel",MAX(0,($A77*Calculateur!$B$56+$A77*H$65*Calculateur!$B$57)-Hypotheses!$B$97)/Hypotheses!$B$99,ROUNDUP(MAX(0,($A77*Calculateur!$B$56+$A77*H$65*Calculateur!$B$57)-Hypotheses!$B$97)/Hypotheses!$B$99,0))*Hypotheses!$B$101)*12)-Hypotheses!$A$58)*Hypotheses!$B$59)*(1+Hypotheses!$B$60)*(1-Hypotheses!$B$61)/12)-MAX(0,(($A77*H$65*Calculateur!$B$54-Calculateur!$B$58-IF(Hypotheses!$B$100="proportionnel",MAX(0,($A77*Calculateur!$B$56+$A77*H$65*Calculateur!$B$57)-Hypotheses!$B$97)/Hypotheses!$B$99,ROUNDUP(MAX(0,($A77*Calculateur!$B$56+$A77*H$65*Calculateur!$B$57)-Hypotheses!$B$97)/Hypotheses!$B$99,0))*Hypotheses!$B$101)-(MIN(MAX(0,($A77*H$65*Calculateur!$B$54-Calculateur!$B$58-IF(Hypotheses!$B$100="proportionnel",MAX(0,($A77*Calculateur!$B$56+$A77*H$65*Calculateur!$B$57)-Hypotheses!$B$97)/Hypotheses!$B$99,ROUNDUP(MAX(0,($A77*Calculateur!$B$56+$A77*H$65*Calculateur!$B$57)-Hypotheses!$B$97)/Hypotheses!$B$99,0))*Hypotheses!$B$101)*12),Hypotheses!$A$56)*Hypotheses!$B$56+MAX(0,MIN(MAX(0,($A77*H$65*Calculateur!$B$54-Calculateur!$B$58-IF(Hypotheses!$B$100="proportionnel",MAX(0,($A77*Calculateur!$B$56+$A77*H$65*Calculateur!$B$57)-Hypotheses!$B$97)/Hypotheses!$B$99,ROUNDUP(MAX(0,($A77*Calculateur!$B$56+$A77*H$65*Calculateur!$B$57)-Hypotheses!$B$97)/Hypotheses!$B$99,0))*Hypotheses!$B$101)*12),Hypotheses!$A$57)-Hypotheses!$A$56)*Hypotheses!$B$57+MAX(0,MIN(MAX(0,($A77*H$65*Calculateur!$B$54-Calculateur!$B$58-IF(Hypotheses!$B$100="proportionnel",MAX(0,($A77*Calculateur!$B$56+$A77*H$65*Calculateur!$B$57)-Hypotheses!$B$97)/Hypotheses!$B$99,ROUNDUP(MAX(0,($A77*Calculateur!$B$56+$A77*H$65*Calculateur!$B$57)-Hypotheses!$B$97)/Hypotheses!$B$99,0))*Hypotheses!$B$101)*12),Hypotheses!$A$58)-Hypotheses!$A$57)*Hypotheses!$B$58+MAX(0,MAX(0,($A77*H$65*Calculateur!$B$54-Calculateur!$B$58-IF(Hypotheses!$B$100="proportionnel",MAX(0,($A77*Calculateur!$B$56+$A77*H$65*Calculateur!$B$57)-Hypotheses!$B$97)/Hypotheses!$B$99,ROUNDUP(MAX(0,($A77*Calculateur!$B$56+$A77*H$65*Calculateur!$B$57)-Hypotheses!$B$97)/Hypotheses!$B$99,0))*Hypotheses!$B$101)*12)-Hypotheses!$A$58)*Hypotheses!$B$59)*(1+Hypotheses!$B$60)*(1-Hypotheses!$B$61)/12))*Hypotheses!$B$65</f>
        <v/>
      </c>
      <c r="I77" s="21">
        <f>(($A77*I$65*Calculateur!$B$54-Calculateur!$B$58-IF(Hypotheses!$B$100="proportionnel",MAX(0,($A77*Calculateur!$B$56+$A77*I$65*Calculateur!$B$57)-Hypotheses!$B$97)/Hypotheses!$B$99,ROUNDUP(MAX(0,($A77*Calculateur!$B$56+$A77*I$65*Calculateur!$B$57)-Hypotheses!$B$97)/Hypotheses!$B$99,0))*Hypotheses!$B$101)-(MIN(MAX(0,($A77*I$65*Calculateur!$B$54-Calculateur!$B$58-IF(Hypotheses!$B$100="proportionnel",MAX(0,($A77*Calculateur!$B$56+$A77*I$65*Calculateur!$B$57)-Hypotheses!$B$97)/Hypotheses!$B$99,ROUNDUP(MAX(0,($A77*Calculateur!$B$56+$A77*I$65*Calculateur!$B$57)-Hypotheses!$B$97)/Hypotheses!$B$99,0))*Hypotheses!$B$101)*12),Hypotheses!$A$56)*Hypotheses!$B$56+MAX(0,MIN(MAX(0,($A77*I$65*Calculateur!$B$54-Calculateur!$B$58-IF(Hypotheses!$B$100="proportionnel",MAX(0,($A77*Calculateur!$B$56+$A77*I$65*Calculateur!$B$57)-Hypotheses!$B$97)/Hypotheses!$B$99,ROUNDUP(MAX(0,($A77*Calculateur!$B$56+$A77*I$65*Calculateur!$B$57)-Hypotheses!$B$97)/Hypotheses!$B$99,0))*Hypotheses!$B$101)*12),Hypotheses!$A$57)-Hypotheses!$A$56)*Hypotheses!$B$57+MAX(0,MIN(MAX(0,($A77*I$65*Calculateur!$B$54-Calculateur!$B$58-IF(Hypotheses!$B$100="proportionnel",MAX(0,($A77*Calculateur!$B$56+$A77*I$65*Calculateur!$B$57)-Hypotheses!$B$97)/Hypotheses!$B$99,ROUNDUP(MAX(0,($A77*Calculateur!$B$56+$A77*I$65*Calculateur!$B$57)-Hypotheses!$B$97)/Hypotheses!$B$99,0))*Hypotheses!$B$101)*12),Hypotheses!$A$58)-Hypotheses!$A$57)*Hypotheses!$B$58+MAX(0,MAX(0,($A77*I$65*Calculateur!$B$54-Calculateur!$B$58-IF(Hypotheses!$B$100="proportionnel",MAX(0,($A77*Calculateur!$B$56+$A77*I$65*Calculateur!$B$57)-Hypotheses!$B$97)/Hypotheses!$B$99,ROUNDUP(MAX(0,($A77*Calculateur!$B$56+$A77*I$65*Calculateur!$B$57)-Hypotheses!$B$97)/Hypotheses!$B$99,0))*Hypotheses!$B$101)*12)-Hypotheses!$A$58)*Hypotheses!$B$59)*(1+Hypotheses!$B$60)*(1-Hypotheses!$B$61)/12)-MAX(0,(($A77*I$65*Calculateur!$B$54-Calculateur!$B$58-IF(Hypotheses!$B$100="proportionnel",MAX(0,($A77*Calculateur!$B$56+$A77*I$65*Calculateur!$B$57)-Hypotheses!$B$97)/Hypotheses!$B$99,ROUNDUP(MAX(0,($A77*Calculateur!$B$56+$A77*I$65*Calculateur!$B$57)-Hypotheses!$B$97)/Hypotheses!$B$99,0))*Hypotheses!$B$101)-(MIN(MAX(0,($A77*I$65*Calculateur!$B$54-Calculateur!$B$58-IF(Hypotheses!$B$100="proportionnel",MAX(0,($A77*Calculateur!$B$56+$A77*I$65*Calculateur!$B$57)-Hypotheses!$B$97)/Hypotheses!$B$99,ROUNDUP(MAX(0,($A77*Calculateur!$B$56+$A77*I$65*Calculateur!$B$57)-Hypotheses!$B$97)/Hypotheses!$B$99,0))*Hypotheses!$B$101)*12),Hypotheses!$A$56)*Hypotheses!$B$56+MAX(0,MIN(MAX(0,($A77*I$65*Calculateur!$B$54-Calculateur!$B$58-IF(Hypotheses!$B$100="proportionnel",MAX(0,($A77*Calculateur!$B$56+$A77*I$65*Calculateur!$B$57)-Hypotheses!$B$97)/Hypotheses!$B$99,ROUNDUP(MAX(0,($A77*Calculateur!$B$56+$A77*I$65*Calculateur!$B$57)-Hypotheses!$B$97)/Hypotheses!$B$99,0))*Hypotheses!$B$101)*12),Hypotheses!$A$57)-Hypotheses!$A$56)*Hypotheses!$B$57+MAX(0,MIN(MAX(0,($A77*I$65*Calculateur!$B$54-Calculateur!$B$58-IF(Hypotheses!$B$100="proportionnel",MAX(0,($A77*Calculateur!$B$56+$A77*I$65*Calculateur!$B$57)-Hypotheses!$B$97)/Hypotheses!$B$99,ROUNDUP(MAX(0,($A77*Calculateur!$B$56+$A77*I$65*Calculateur!$B$57)-Hypotheses!$B$97)/Hypotheses!$B$99,0))*Hypotheses!$B$101)*12),Hypotheses!$A$58)-Hypotheses!$A$57)*Hypotheses!$B$58+MAX(0,MAX(0,($A77*I$65*Calculateur!$B$54-Calculateur!$B$58-IF(Hypotheses!$B$100="proportionnel",MAX(0,($A77*Calculateur!$B$56+$A77*I$65*Calculateur!$B$57)-Hypotheses!$B$97)/Hypotheses!$B$99,ROUNDUP(MAX(0,($A77*Calculateur!$B$56+$A77*I$65*Calculateur!$B$57)-Hypotheses!$B$97)/Hypotheses!$B$99,0))*Hypotheses!$B$101)*12)-Hypotheses!$A$58)*Hypotheses!$B$59)*(1+Hypotheses!$B$60)*(1-Hypotheses!$B$61)/12))*Hypotheses!$B$65</f>
        <v/>
      </c>
    </row>
  </sheetData>
  <conditionalFormatting sqref="B66:I77">
    <cfRule type="cellIs" priority="1" operator="lessThan" dxfId="1">
      <formula>0</formula>
    </cfRule>
    <cfRule type="cellIs" priority="2" operator="greaterThanOrEqual" dxfId="2">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49"/>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s>
  <sheetData>
    <row r="1">
      <c r="A1" s="5" t="inlineStr">
        <is>
          <t>Prévisions mensuelles — résultat sur 60 mois selon les hypothèses (sections 8 à 10)</t>
        </is>
      </c>
    </row>
    <row r="2">
      <c r="A2" s="6" t="inlineStr">
        <is>
          <t>Tout est calculé. Modifiez l'onglet « Hypotheses ». Les nombres de clients en libre-service sont des espérances, d'où des décimales.</t>
        </is>
      </c>
    </row>
    <row r="4">
      <c r="A4" s="8" t="inlineStr">
        <is>
          <t>Mois n°</t>
        </is>
      </c>
      <c r="C4" s="53" t="n">
        <v>1</v>
      </c>
      <c r="D4" s="53" t="n">
        <v>2</v>
      </c>
      <c r="E4" s="53" t="n">
        <v>3</v>
      </c>
      <c r="F4" s="53" t="n">
        <v>4</v>
      </c>
      <c r="G4" s="53" t="n">
        <v>5</v>
      </c>
      <c r="H4" s="53" t="n">
        <v>6</v>
      </c>
      <c r="I4" s="53" t="n">
        <v>7</v>
      </c>
      <c r="J4" s="53" t="n">
        <v>8</v>
      </c>
      <c r="K4" s="53" t="n">
        <v>9</v>
      </c>
      <c r="L4" s="53" t="n">
        <v>10</v>
      </c>
      <c r="M4" s="53" t="n">
        <v>11</v>
      </c>
      <c r="N4" s="53" t="n">
        <v>12</v>
      </c>
      <c r="O4" s="53" t="n">
        <v>13</v>
      </c>
      <c r="P4" s="53" t="n">
        <v>14</v>
      </c>
      <c r="Q4" s="53" t="n">
        <v>15</v>
      </c>
      <c r="R4" s="53" t="n">
        <v>16</v>
      </c>
      <c r="S4" s="53" t="n">
        <v>17</v>
      </c>
      <c r="T4" s="53" t="n">
        <v>18</v>
      </c>
      <c r="U4" s="53" t="n">
        <v>19</v>
      </c>
      <c r="V4" s="53" t="n">
        <v>20</v>
      </c>
      <c r="W4" s="53" t="n">
        <v>21</v>
      </c>
      <c r="X4" s="53" t="n">
        <v>22</v>
      </c>
      <c r="Y4" s="53" t="n">
        <v>23</v>
      </c>
      <c r="Z4" s="53" t="n">
        <v>24</v>
      </c>
      <c r="AA4" s="53" t="n">
        <v>25</v>
      </c>
      <c r="AB4" s="53" t="n">
        <v>26</v>
      </c>
      <c r="AC4" s="53" t="n">
        <v>27</v>
      </c>
      <c r="AD4" s="53" t="n">
        <v>28</v>
      </c>
      <c r="AE4" s="53" t="n">
        <v>29</v>
      </c>
      <c r="AF4" s="53" t="n">
        <v>30</v>
      </c>
      <c r="AG4" s="53" t="n">
        <v>31</v>
      </c>
      <c r="AH4" s="53" t="n">
        <v>32</v>
      </c>
      <c r="AI4" s="53" t="n">
        <v>33</v>
      </c>
      <c r="AJ4" s="53" t="n">
        <v>34</v>
      </c>
      <c r="AK4" s="53" t="n">
        <v>35</v>
      </c>
      <c r="AL4" s="53" t="n">
        <v>36</v>
      </c>
      <c r="AM4" s="53" t="n">
        <v>37</v>
      </c>
      <c r="AN4" s="53" t="n">
        <v>38</v>
      </c>
      <c r="AO4" s="53" t="n">
        <v>39</v>
      </c>
      <c r="AP4" s="53" t="n">
        <v>40</v>
      </c>
      <c r="AQ4" s="53" t="n">
        <v>41</v>
      </c>
      <c r="AR4" s="53" t="n">
        <v>42</v>
      </c>
      <c r="AS4" s="53" t="n">
        <v>43</v>
      </c>
      <c r="AT4" s="53" t="n">
        <v>44</v>
      </c>
      <c r="AU4" s="53" t="n">
        <v>45</v>
      </c>
      <c r="AV4" s="53" t="n">
        <v>46</v>
      </c>
      <c r="AW4" s="53" t="n">
        <v>47</v>
      </c>
      <c r="AX4" s="53" t="n">
        <v>48</v>
      </c>
      <c r="AY4" s="53" t="n">
        <v>49</v>
      </c>
      <c r="AZ4" s="53" t="n">
        <v>50</v>
      </c>
      <c r="BA4" s="53" t="n">
        <v>51</v>
      </c>
      <c r="BB4" s="53" t="n">
        <v>52</v>
      </c>
      <c r="BC4" s="53" t="n">
        <v>53</v>
      </c>
      <c r="BD4" s="53" t="n">
        <v>54</v>
      </c>
      <c r="BE4" s="53" t="n">
        <v>55</v>
      </c>
      <c r="BF4" s="53" t="n">
        <v>56</v>
      </c>
      <c r="BG4" s="53" t="n">
        <v>57</v>
      </c>
      <c r="BH4" s="53" t="n">
        <v>58</v>
      </c>
      <c r="BI4" s="53" t="n">
        <v>59</v>
      </c>
      <c r="BJ4" s="53" t="n">
        <v>60</v>
      </c>
    </row>
    <row r="5">
      <c r="A5" s="8" t="inlineStr">
        <is>
          <t>Mois</t>
        </is>
      </c>
      <c r="C5" s="54">
        <f>EDATE(Hypotheses!$B$68,C4-1)</f>
        <v/>
      </c>
      <c r="D5" s="54">
        <f>EDATE(Hypotheses!$B$68,D4-1)</f>
        <v/>
      </c>
      <c r="E5" s="54">
        <f>EDATE(Hypotheses!$B$68,E4-1)</f>
        <v/>
      </c>
      <c r="F5" s="54">
        <f>EDATE(Hypotheses!$B$68,F4-1)</f>
        <v/>
      </c>
      <c r="G5" s="54">
        <f>EDATE(Hypotheses!$B$68,G4-1)</f>
        <v/>
      </c>
      <c r="H5" s="54">
        <f>EDATE(Hypotheses!$B$68,H4-1)</f>
        <v/>
      </c>
      <c r="I5" s="54">
        <f>EDATE(Hypotheses!$B$68,I4-1)</f>
        <v/>
      </c>
      <c r="J5" s="54">
        <f>EDATE(Hypotheses!$B$68,J4-1)</f>
        <v/>
      </c>
      <c r="K5" s="54">
        <f>EDATE(Hypotheses!$B$68,K4-1)</f>
        <v/>
      </c>
      <c r="L5" s="54">
        <f>EDATE(Hypotheses!$B$68,L4-1)</f>
        <v/>
      </c>
      <c r="M5" s="54">
        <f>EDATE(Hypotheses!$B$68,M4-1)</f>
        <v/>
      </c>
      <c r="N5" s="54">
        <f>EDATE(Hypotheses!$B$68,N4-1)</f>
        <v/>
      </c>
      <c r="O5" s="54">
        <f>EDATE(Hypotheses!$B$68,O4-1)</f>
        <v/>
      </c>
      <c r="P5" s="54">
        <f>EDATE(Hypotheses!$B$68,P4-1)</f>
        <v/>
      </c>
      <c r="Q5" s="54">
        <f>EDATE(Hypotheses!$B$68,Q4-1)</f>
        <v/>
      </c>
      <c r="R5" s="54">
        <f>EDATE(Hypotheses!$B$68,R4-1)</f>
        <v/>
      </c>
      <c r="S5" s="54">
        <f>EDATE(Hypotheses!$B$68,S4-1)</f>
        <v/>
      </c>
      <c r="T5" s="54">
        <f>EDATE(Hypotheses!$B$68,T4-1)</f>
        <v/>
      </c>
      <c r="U5" s="54">
        <f>EDATE(Hypotheses!$B$68,U4-1)</f>
        <v/>
      </c>
      <c r="V5" s="54">
        <f>EDATE(Hypotheses!$B$68,V4-1)</f>
        <v/>
      </c>
      <c r="W5" s="54">
        <f>EDATE(Hypotheses!$B$68,W4-1)</f>
        <v/>
      </c>
      <c r="X5" s="54">
        <f>EDATE(Hypotheses!$B$68,X4-1)</f>
        <v/>
      </c>
      <c r="Y5" s="54">
        <f>EDATE(Hypotheses!$B$68,Y4-1)</f>
        <v/>
      </c>
      <c r="Z5" s="54">
        <f>EDATE(Hypotheses!$B$68,Z4-1)</f>
        <v/>
      </c>
      <c r="AA5" s="54">
        <f>EDATE(Hypotheses!$B$68,AA4-1)</f>
        <v/>
      </c>
      <c r="AB5" s="54">
        <f>EDATE(Hypotheses!$B$68,AB4-1)</f>
        <v/>
      </c>
      <c r="AC5" s="54">
        <f>EDATE(Hypotheses!$B$68,AC4-1)</f>
        <v/>
      </c>
      <c r="AD5" s="54">
        <f>EDATE(Hypotheses!$B$68,AD4-1)</f>
        <v/>
      </c>
      <c r="AE5" s="54">
        <f>EDATE(Hypotheses!$B$68,AE4-1)</f>
        <v/>
      </c>
      <c r="AF5" s="54">
        <f>EDATE(Hypotheses!$B$68,AF4-1)</f>
        <v/>
      </c>
      <c r="AG5" s="54">
        <f>EDATE(Hypotheses!$B$68,AG4-1)</f>
        <v/>
      </c>
      <c r="AH5" s="54">
        <f>EDATE(Hypotheses!$B$68,AH4-1)</f>
        <v/>
      </c>
      <c r="AI5" s="54">
        <f>EDATE(Hypotheses!$B$68,AI4-1)</f>
        <v/>
      </c>
      <c r="AJ5" s="54">
        <f>EDATE(Hypotheses!$B$68,AJ4-1)</f>
        <v/>
      </c>
      <c r="AK5" s="54">
        <f>EDATE(Hypotheses!$B$68,AK4-1)</f>
        <v/>
      </c>
      <c r="AL5" s="54">
        <f>EDATE(Hypotheses!$B$68,AL4-1)</f>
        <v/>
      </c>
      <c r="AM5" s="54">
        <f>EDATE(Hypotheses!$B$68,AM4-1)</f>
        <v/>
      </c>
      <c r="AN5" s="54">
        <f>EDATE(Hypotheses!$B$68,AN4-1)</f>
        <v/>
      </c>
      <c r="AO5" s="54">
        <f>EDATE(Hypotheses!$B$68,AO4-1)</f>
        <v/>
      </c>
      <c r="AP5" s="54">
        <f>EDATE(Hypotheses!$B$68,AP4-1)</f>
        <v/>
      </c>
      <c r="AQ5" s="54">
        <f>EDATE(Hypotheses!$B$68,AQ4-1)</f>
        <v/>
      </c>
      <c r="AR5" s="54">
        <f>EDATE(Hypotheses!$B$68,AR4-1)</f>
        <v/>
      </c>
      <c r="AS5" s="54">
        <f>EDATE(Hypotheses!$B$68,AS4-1)</f>
        <v/>
      </c>
      <c r="AT5" s="54">
        <f>EDATE(Hypotheses!$B$68,AT4-1)</f>
        <v/>
      </c>
      <c r="AU5" s="54">
        <f>EDATE(Hypotheses!$B$68,AU4-1)</f>
        <v/>
      </c>
      <c r="AV5" s="54">
        <f>EDATE(Hypotheses!$B$68,AV4-1)</f>
        <v/>
      </c>
      <c r="AW5" s="54">
        <f>EDATE(Hypotheses!$B$68,AW4-1)</f>
        <v/>
      </c>
      <c r="AX5" s="54">
        <f>EDATE(Hypotheses!$B$68,AX4-1)</f>
        <v/>
      </c>
      <c r="AY5" s="54">
        <f>EDATE(Hypotheses!$B$68,AY4-1)</f>
        <v/>
      </c>
      <c r="AZ5" s="54">
        <f>EDATE(Hypotheses!$B$68,AZ4-1)</f>
        <v/>
      </c>
      <c r="BA5" s="54">
        <f>EDATE(Hypotheses!$B$68,BA4-1)</f>
        <v/>
      </c>
      <c r="BB5" s="54">
        <f>EDATE(Hypotheses!$B$68,BB4-1)</f>
        <v/>
      </c>
      <c r="BC5" s="54">
        <f>EDATE(Hypotheses!$B$68,BC4-1)</f>
        <v/>
      </c>
      <c r="BD5" s="54">
        <f>EDATE(Hypotheses!$B$68,BD4-1)</f>
        <v/>
      </c>
      <c r="BE5" s="54">
        <f>EDATE(Hypotheses!$B$68,BE4-1)</f>
        <v/>
      </c>
      <c r="BF5" s="54">
        <f>EDATE(Hypotheses!$B$68,BF4-1)</f>
        <v/>
      </c>
      <c r="BG5" s="54">
        <f>EDATE(Hypotheses!$B$68,BG4-1)</f>
        <v/>
      </c>
      <c r="BH5" s="54">
        <f>EDATE(Hypotheses!$B$68,BH4-1)</f>
        <v/>
      </c>
      <c r="BI5" s="54">
        <f>EDATE(Hypotheses!$B$68,BI4-1)</f>
        <v/>
      </c>
      <c r="BJ5" s="54">
        <f>EDATE(Hypotheses!$B$68,BJ4-1)</f>
        <v/>
      </c>
    </row>
    <row r="6">
      <c r="A6" s="28" t="inlineStr">
        <is>
          <t>Année n°</t>
        </is>
      </c>
      <c r="C6" s="55">
        <f>INT((C4-1)/12)+1</f>
        <v/>
      </c>
      <c r="D6" s="55">
        <f>INT((D4-1)/12)+1</f>
        <v/>
      </c>
      <c r="E6" s="55">
        <f>INT((E4-1)/12)+1</f>
        <v/>
      </c>
      <c r="F6" s="55">
        <f>INT((F4-1)/12)+1</f>
        <v/>
      </c>
      <c r="G6" s="55">
        <f>INT((G4-1)/12)+1</f>
        <v/>
      </c>
      <c r="H6" s="55">
        <f>INT((H4-1)/12)+1</f>
        <v/>
      </c>
      <c r="I6" s="55">
        <f>INT((I4-1)/12)+1</f>
        <v/>
      </c>
      <c r="J6" s="55">
        <f>INT((J4-1)/12)+1</f>
        <v/>
      </c>
      <c r="K6" s="55">
        <f>INT((K4-1)/12)+1</f>
        <v/>
      </c>
      <c r="L6" s="55">
        <f>INT((L4-1)/12)+1</f>
        <v/>
      </c>
      <c r="M6" s="55">
        <f>INT((M4-1)/12)+1</f>
        <v/>
      </c>
      <c r="N6" s="55">
        <f>INT((N4-1)/12)+1</f>
        <v/>
      </c>
      <c r="O6" s="55">
        <f>INT((O4-1)/12)+1</f>
        <v/>
      </c>
      <c r="P6" s="55">
        <f>INT((P4-1)/12)+1</f>
        <v/>
      </c>
      <c r="Q6" s="55">
        <f>INT((Q4-1)/12)+1</f>
        <v/>
      </c>
      <c r="R6" s="55">
        <f>INT((R4-1)/12)+1</f>
        <v/>
      </c>
      <c r="S6" s="55">
        <f>INT((S4-1)/12)+1</f>
        <v/>
      </c>
      <c r="T6" s="55">
        <f>INT((T4-1)/12)+1</f>
        <v/>
      </c>
      <c r="U6" s="55">
        <f>INT((U4-1)/12)+1</f>
        <v/>
      </c>
      <c r="V6" s="55">
        <f>INT((V4-1)/12)+1</f>
        <v/>
      </c>
      <c r="W6" s="55">
        <f>INT((W4-1)/12)+1</f>
        <v/>
      </c>
      <c r="X6" s="55">
        <f>INT((X4-1)/12)+1</f>
        <v/>
      </c>
      <c r="Y6" s="55">
        <f>INT((Y4-1)/12)+1</f>
        <v/>
      </c>
      <c r="Z6" s="55">
        <f>INT((Z4-1)/12)+1</f>
        <v/>
      </c>
      <c r="AA6" s="55">
        <f>INT((AA4-1)/12)+1</f>
        <v/>
      </c>
      <c r="AB6" s="55">
        <f>INT((AB4-1)/12)+1</f>
        <v/>
      </c>
      <c r="AC6" s="55">
        <f>INT((AC4-1)/12)+1</f>
        <v/>
      </c>
      <c r="AD6" s="55">
        <f>INT((AD4-1)/12)+1</f>
        <v/>
      </c>
      <c r="AE6" s="55">
        <f>INT((AE4-1)/12)+1</f>
        <v/>
      </c>
      <c r="AF6" s="55">
        <f>INT((AF4-1)/12)+1</f>
        <v/>
      </c>
      <c r="AG6" s="55">
        <f>INT((AG4-1)/12)+1</f>
        <v/>
      </c>
      <c r="AH6" s="55">
        <f>INT((AH4-1)/12)+1</f>
        <v/>
      </c>
      <c r="AI6" s="55">
        <f>INT((AI4-1)/12)+1</f>
        <v/>
      </c>
      <c r="AJ6" s="55">
        <f>INT((AJ4-1)/12)+1</f>
        <v/>
      </c>
      <c r="AK6" s="55">
        <f>INT((AK4-1)/12)+1</f>
        <v/>
      </c>
      <c r="AL6" s="55">
        <f>INT((AL4-1)/12)+1</f>
        <v/>
      </c>
      <c r="AM6" s="55">
        <f>INT((AM4-1)/12)+1</f>
        <v/>
      </c>
      <c r="AN6" s="55">
        <f>INT((AN4-1)/12)+1</f>
        <v/>
      </c>
      <c r="AO6" s="55">
        <f>INT((AO4-1)/12)+1</f>
        <v/>
      </c>
      <c r="AP6" s="55">
        <f>INT((AP4-1)/12)+1</f>
        <v/>
      </c>
      <c r="AQ6" s="55">
        <f>INT((AQ4-1)/12)+1</f>
        <v/>
      </c>
      <c r="AR6" s="55">
        <f>INT((AR4-1)/12)+1</f>
        <v/>
      </c>
      <c r="AS6" s="55">
        <f>INT((AS4-1)/12)+1</f>
        <v/>
      </c>
      <c r="AT6" s="55">
        <f>INT((AT4-1)/12)+1</f>
        <v/>
      </c>
      <c r="AU6" s="55">
        <f>INT((AU4-1)/12)+1</f>
        <v/>
      </c>
      <c r="AV6" s="55">
        <f>INT((AV4-1)/12)+1</f>
        <v/>
      </c>
      <c r="AW6" s="55">
        <f>INT((AW4-1)/12)+1</f>
        <v/>
      </c>
      <c r="AX6" s="55">
        <f>INT((AX4-1)/12)+1</f>
        <v/>
      </c>
      <c r="AY6" s="55">
        <f>INT((AY4-1)/12)+1</f>
        <v/>
      </c>
      <c r="AZ6" s="55">
        <f>INT((AZ4-1)/12)+1</f>
        <v/>
      </c>
      <c r="BA6" s="55">
        <f>INT((BA4-1)/12)+1</f>
        <v/>
      </c>
      <c r="BB6" s="55">
        <f>INT((BB4-1)/12)+1</f>
        <v/>
      </c>
      <c r="BC6" s="55">
        <f>INT((BC4-1)/12)+1</f>
        <v/>
      </c>
      <c r="BD6" s="55">
        <f>INT((BD4-1)/12)+1</f>
        <v/>
      </c>
      <c r="BE6" s="55">
        <f>INT((BE4-1)/12)+1</f>
        <v/>
      </c>
      <c r="BF6" s="55">
        <f>INT((BF4-1)/12)+1</f>
        <v/>
      </c>
      <c r="BG6" s="55">
        <f>INT((BG4-1)/12)+1</f>
        <v/>
      </c>
      <c r="BH6" s="55">
        <f>INT((BH4-1)/12)+1</f>
        <v/>
      </c>
      <c r="BI6" s="55">
        <f>INT((BI4-1)/12)+1</f>
        <v/>
      </c>
      <c r="BJ6" s="55">
        <f>INT((BJ4-1)/12)+1</f>
        <v/>
      </c>
    </row>
    <row r="7">
      <c r="A7" s="19" t="inlineStr">
        <is>
          <t>Clients</t>
        </is>
      </c>
      <c r="B7" s="20" t="n"/>
      <c r="C7" s="20" t="n"/>
      <c r="D7" s="20" t="n"/>
      <c r="E7" s="20" t="n"/>
      <c r="F7" s="20" t="n"/>
      <c r="G7" s="20" t="n"/>
      <c r="H7" s="20" t="n"/>
      <c r="I7" s="20" t="n"/>
      <c r="J7" s="20" t="n"/>
      <c r="K7" s="20" t="n"/>
      <c r="L7" s="20" t="n"/>
      <c r="M7" s="20" t="n"/>
      <c r="N7" s="20" t="n"/>
      <c r="O7" s="20" t="n"/>
      <c r="P7" s="20" t="n"/>
      <c r="Q7" s="20" t="n"/>
      <c r="R7" s="20" t="n"/>
      <c r="S7" s="20" t="n"/>
      <c r="T7" s="20" t="n"/>
      <c r="U7" s="20" t="n"/>
      <c r="V7" s="20" t="n"/>
      <c r="W7" s="20" t="n"/>
      <c r="X7" s="20" t="n"/>
      <c r="Y7" s="20" t="n"/>
      <c r="Z7" s="20" t="n"/>
      <c r="AA7" s="20" t="n"/>
      <c r="AB7" s="20" t="n"/>
      <c r="AC7" s="20" t="n"/>
      <c r="AD7" s="20" t="n"/>
      <c r="AE7" s="20" t="n"/>
      <c r="AF7" s="20" t="n"/>
      <c r="AG7" s="20" t="n"/>
      <c r="AH7" s="20" t="n"/>
      <c r="AI7" s="20" t="n"/>
      <c r="AJ7" s="20" t="n"/>
      <c r="AK7" s="20" t="n"/>
      <c r="AL7" s="20" t="n"/>
      <c r="AM7" s="20" t="n"/>
      <c r="AN7" s="20" t="n"/>
      <c r="AO7" s="20" t="n"/>
      <c r="AP7" s="20" t="n"/>
      <c r="AQ7" s="20" t="n"/>
      <c r="AR7" s="20" t="n"/>
      <c r="AS7" s="20" t="n"/>
      <c r="AT7" s="20" t="n"/>
      <c r="AU7" s="20" t="n"/>
      <c r="AV7" s="20" t="n"/>
      <c r="AW7" s="20" t="n"/>
      <c r="AX7" s="20" t="n"/>
      <c r="AY7" s="20" t="n"/>
      <c r="AZ7" s="20" t="n"/>
      <c r="BA7" s="20" t="n"/>
      <c r="BB7" s="20" t="n"/>
      <c r="BC7" s="20" t="n"/>
      <c r="BD7" s="20" t="n"/>
      <c r="BE7" s="20" t="n"/>
      <c r="BF7" s="20" t="n"/>
      <c r="BG7" s="20" t="n"/>
      <c r="BH7" s="20" t="n"/>
      <c r="BI7" s="20" t="n"/>
      <c r="BJ7" s="20" t="n"/>
    </row>
    <row r="8">
      <c r="A8" s="28" t="inlineStr">
        <is>
          <t>Nouveaux clients (libre-service)</t>
        </is>
      </c>
      <c r="C8" s="14">
        <f>Hypotheses!$B$70*(1+Hypotheses!$B$71)^(C4-1)</f>
        <v/>
      </c>
      <c r="D8" s="14">
        <f>Hypotheses!$B$70*(1+Hypotheses!$B$71)^(D4-1)</f>
        <v/>
      </c>
      <c r="E8" s="14">
        <f>Hypotheses!$B$70*(1+Hypotheses!$B$71)^(E4-1)</f>
        <v/>
      </c>
      <c r="F8" s="14">
        <f>Hypotheses!$B$70*(1+Hypotheses!$B$71)^(F4-1)</f>
        <v/>
      </c>
      <c r="G8" s="14">
        <f>Hypotheses!$B$70*(1+Hypotheses!$B$71)^(G4-1)</f>
        <v/>
      </c>
      <c r="H8" s="14">
        <f>Hypotheses!$B$70*(1+Hypotheses!$B$71)^(H4-1)</f>
        <v/>
      </c>
      <c r="I8" s="14">
        <f>Hypotheses!$B$70*(1+Hypotheses!$B$71)^(I4-1)</f>
        <v/>
      </c>
      <c r="J8" s="14">
        <f>Hypotheses!$B$70*(1+Hypotheses!$B$71)^(J4-1)</f>
        <v/>
      </c>
      <c r="K8" s="14">
        <f>Hypotheses!$B$70*(1+Hypotheses!$B$71)^(K4-1)</f>
        <v/>
      </c>
      <c r="L8" s="14">
        <f>Hypotheses!$B$70*(1+Hypotheses!$B$71)^(L4-1)</f>
        <v/>
      </c>
      <c r="M8" s="14">
        <f>Hypotheses!$B$70*(1+Hypotheses!$B$71)^(M4-1)</f>
        <v/>
      </c>
      <c r="N8" s="14">
        <f>Hypotheses!$B$70*(1+Hypotheses!$B$71)^(N4-1)</f>
        <v/>
      </c>
      <c r="O8" s="14">
        <f>Hypotheses!$B$70*(1+Hypotheses!$B$71)^(O4-1)</f>
        <v/>
      </c>
      <c r="P8" s="14">
        <f>Hypotheses!$B$70*(1+Hypotheses!$B$71)^(P4-1)</f>
        <v/>
      </c>
      <c r="Q8" s="14">
        <f>Hypotheses!$B$70*(1+Hypotheses!$B$71)^(Q4-1)</f>
        <v/>
      </c>
      <c r="R8" s="14">
        <f>Hypotheses!$B$70*(1+Hypotheses!$B$71)^(R4-1)</f>
        <v/>
      </c>
      <c r="S8" s="14">
        <f>Hypotheses!$B$70*(1+Hypotheses!$B$71)^(S4-1)</f>
        <v/>
      </c>
      <c r="T8" s="14">
        <f>Hypotheses!$B$70*(1+Hypotheses!$B$71)^(T4-1)</f>
        <v/>
      </c>
      <c r="U8" s="14">
        <f>Hypotheses!$B$70*(1+Hypotheses!$B$71)^(U4-1)</f>
        <v/>
      </c>
      <c r="V8" s="14">
        <f>Hypotheses!$B$70*(1+Hypotheses!$B$71)^(V4-1)</f>
        <v/>
      </c>
      <c r="W8" s="14">
        <f>Hypotheses!$B$70*(1+Hypotheses!$B$71)^(W4-1)</f>
        <v/>
      </c>
      <c r="X8" s="14">
        <f>Hypotheses!$B$70*(1+Hypotheses!$B$71)^(X4-1)</f>
        <v/>
      </c>
      <c r="Y8" s="14">
        <f>Hypotheses!$B$70*(1+Hypotheses!$B$71)^(Y4-1)</f>
        <v/>
      </c>
      <c r="Z8" s="14">
        <f>Hypotheses!$B$70*(1+Hypotheses!$B$71)^(Z4-1)</f>
        <v/>
      </c>
      <c r="AA8" s="14">
        <f>Hypotheses!$B$70*(1+Hypotheses!$B$71)^(AA4-1)</f>
        <v/>
      </c>
      <c r="AB8" s="14">
        <f>Hypotheses!$B$70*(1+Hypotheses!$B$71)^(AB4-1)</f>
        <v/>
      </c>
      <c r="AC8" s="14">
        <f>Hypotheses!$B$70*(1+Hypotheses!$B$71)^(AC4-1)</f>
        <v/>
      </c>
      <c r="AD8" s="14">
        <f>Hypotheses!$B$70*(1+Hypotheses!$B$71)^(AD4-1)</f>
        <v/>
      </c>
      <c r="AE8" s="14">
        <f>Hypotheses!$B$70*(1+Hypotheses!$B$71)^(AE4-1)</f>
        <v/>
      </c>
      <c r="AF8" s="14">
        <f>Hypotheses!$B$70*(1+Hypotheses!$B$71)^(AF4-1)</f>
        <v/>
      </c>
      <c r="AG8" s="14">
        <f>Hypotheses!$B$70*(1+Hypotheses!$B$71)^(AG4-1)</f>
        <v/>
      </c>
      <c r="AH8" s="14">
        <f>Hypotheses!$B$70*(1+Hypotheses!$B$71)^(AH4-1)</f>
        <v/>
      </c>
      <c r="AI8" s="14">
        <f>Hypotheses!$B$70*(1+Hypotheses!$B$71)^(AI4-1)</f>
        <v/>
      </c>
      <c r="AJ8" s="14">
        <f>Hypotheses!$B$70*(1+Hypotheses!$B$71)^(AJ4-1)</f>
        <v/>
      </c>
      <c r="AK8" s="14">
        <f>Hypotheses!$B$70*(1+Hypotheses!$B$71)^(AK4-1)</f>
        <v/>
      </c>
      <c r="AL8" s="14">
        <f>Hypotheses!$B$70*(1+Hypotheses!$B$71)^(AL4-1)</f>
        <v/>
      </c>
      <c r="AM8" s="14">
        <f>Hypotheses!$B$70*(1+Hypotheses!$B$71)^(AM4-1)</f>
        <v/>
      </c>
      <c r="AN8" s="14">
        <f>Hypotheses!$B$70*(1+Hypotheses!$B$71)^(AN4-1)</f>
        <v/>
      </c>
      <c r="AO8" s="14">
        <f>Hypotheses!$B$70*(1+Hypotheses!$B$71)^(AO4-1)</f>
        <v/>
      </c>
      <c r="AP8" s="14">
        <f>Hypotheses!$B$70*(1+Hypotheses!$B$71)^(AP4-1)</f>
        <v/>
      </c>
      <c r="AQ8" s="14">
        <f>Hypotheses!$B$70*(1+Hypotheses!$B$71)^(AQ4-1)</f>
        <v/>
      </c>
      <c r="AR8" s="14">
        <f>Hypotheses!$B$70*(1+Hypotheses!$B$71)^(AR4-1)</f>
        <v/>
      </c>
      <c r="AS8" s="14">
        <f>Hypotheses!$B$70*(1+Hypotheses!$B$71)^(AS4-1)</f>
        <v/>
      </c>
      <c r="AT8" s="14">
        <f>Hypotheses!$B$70*(1+Hypotheses!$B$71)^(AT4-1)</f>
        <v/>
      </c>
      <c r="AU8" s="14">
        <f>Hypotheses!$B$70*(1+Hypotheses!$B$71)^(AU4-1)</f>
        <v/>
      </c>
      <c r="AV8" s="14">
        <f>Hypotheses!$B$70*(1+Hypotheses!$B$71)^(AV4-1)</f>
        <v/>
      </c>
      <c r="AW8" s="14">
        <f>Hypotheses!$B$70*(1+Hypotheses!$B$71)^(AW4-1)</f>
        <v/>
      </c>
      <c r="AX8" s="14">
        <f>Hypotheses!$B$70*(1+Hypotheses!$B$71)^(AX4-1)</f>
        <v/>
      </c>
      <c r="AY8" s="14">
        <f>Hypotheses!$B$70*(1+Hypotheses!$B$71)^(AY4-1)</f>
        <v/>
      </c>
      <c r="AZ8" s="14">
        <f>Hypotheses!$B$70*(1+Hypotheses!$B$71)^(AZ4-1)</f>
        <v/>
      </c>
      <c r="BA8" s="14">
        <f>Hypotheses!$B$70*(1+Hypotheses!$B$71)^(BA4-1)</f>
        <v/>
      </c>
      <c r="BB8" s="14">
        <f>Hypotheses!$B$70*(1+Hypotheses!$B$71)^(BB4-1)</f>
        <v/>
      </c>
      <c r="BC8" s="14">
        <f>Hypotheses!$B$70*(1+Hypotheses!$B$71)^(BC4-1)</f>
        <v/>
      </c>
      <c r="BD8" s="14">
        <f>Hypotheses!$B$70*(1+Hypotheses!$B$71)^(BD4-1)</f>
        <v/>
      </c>
      <c r="BE8" s="14">
        <f>Hypotheses!$B$70*(1+Hypotheses!$B$71)^(BE4-1)</f>
        <v/>
      </c>
      <c r="BF8" s="14">
        <f>Hypotheses!$B$70*(1+Hypotheses!$B$71)^(BF4-1)</f>
        <v/>
      </c>
      <c r="BG8" s="14">
        <f>Hypotheses!$B$70*(1+Hypotheses!$B$71)^(BG4-1)</f>
        <v/>
      </c>
      <c r="BH8" s="14">
        <f>Hypotheses!$B$70*(1+Hypotheses!$B$71)^(BH4-1)</f>
        <v/>
      </c>
      <c r="BI8" s="14">
        <f>Hypotheses!$B$70*(1+Hypotheses!$B$71)^(BI4-1)</f>
        <v/>
      </c>
      <c r="BJ8" s="14">
        <f>Hypotheses!$B$70*(1+Hypotheses!$B$71)^(BJ4-1)</f>
        <v/>
      </c>
    </row>
    <row r="9">
      <c r="A9" s="28" t="inlineStr">
        <is>
          <t>Clients perdus (libre-service)</t>
        </is>
      </c>
      <c r="C9" s="14">
        <f>Hypotheses!$B$69*Hypotheses!$B$72</f>
        <v/>
      </c>
      <c r="D9" s="14">
        <f>C10*Hypotheses!$B$72</f>
        <v/>
      </c>
      <c r="E9" s="14">
        <f>D10*Hypotheses!$B$72</f>
        <v/>
      </c>
      <c r="F9" s="14">
        <f>E10*Hypotheses!$B$72</f>
        <v/>
      </c>
      <c r="G9" s="14">
        <f>F10*Hypotheses!$B$72</f>
        <v/>
      </c>
      <c r="H9" s="14">
        <f>G10*Hypotheses!$B$72</f>
        <v/>
      </c>
      <c r="I9" s="14">
        <f>H10*Hypotheses!$B$72</f>
        <v/>
      </c>
      <c r="J9" s="14">
        <f>I10*Hypotheses!$B$72</f>
        <v/>
      </c>
      <c r="K9" s="14">
        <f>J10*Hypotheses!$B$72</f>
        <v/>
      </c>
      <c r="L9" s="14">
        <f>K10*Hypotheses!$B$72</f>
        <v/>
      </c>
      <c r="M9" s="14">
        <f>L10*Hypotheses!$B$72</f>
        <v/>
      </c>
      <c r="N9" s="14">
        <f>M10*Hypotheses!$B$72</f>
        <v/>
      </c>
      <c r="O9" s="14">
        <f>N10*Hypotheses!$B$72</f>
        <v/>
      </c>
      <c r="P9" s="14">
        <f>O10*Hypotheses!$B$72</f>
        <v/>
      </c>
      <c r="Q9" s="14">
        <f>P10*Hypotheses!$B$72</f>
        <v/>
      </c>
      <c r="R9" s="14">
        <f>Q10*Hypotheses!$B$72</f>
        <v/>
      </c>
      <c r="S9" s="14">
        <f>R10*Hypotheses!$B$72</f>
        <v/>
      </c>
      <c r="T9" s="14">
        <f>S10*Hypotheses!$B$72</f>
        <v/>
      </c>
      <c r="U9" s="14">
        <f>T10*Hypotheses!$B$72</f>
        <v/>
      </c>
      <c r="V9" s="14">
        <f>U10*Hypotheses!$B$72</f>
        <v/>
      </c>
      <c r="W9" s="14">
        <f>V10*Hypotheses!$B$72</f>
        <v/>
      </c>
      <c r="X9" s="14">
        <f>W10*Hypotheses!$B$72</f>
        <v/>
      </c>
      <c r="Y9" s="14">
        <f>X10*Hypotheses!$B$72</f>
        <v/>
      </c>
      <c r="Z9" s="14">
        <f>Y10*Hypotheses!$B$72</f>
        <v/>
      </c>
      <c r="AA9" s="14">
        <f>Z10*Hypotheses!$B$72</f>
        <v/>
      </c>
      <c r="AB9" s="14">
        <f>AA10*Hypotheses!$B$72</f>
        <v/>
      </c>
      <c r="AC9" s="14">
        <f>AB10*Hypotheses!$B$72</f>
        <v/>
      </c>
      <c r="AD9" s="14">
        <f>AC10*Hypotheses!$B$72</f>
        <v/>
      </c>
      <c r="AE9" s="14">
        <f>AD10*Hypotheses!$B$72</f>
        <v/>
      </c>
      <c r="AF9" s="14">
        <f>AE10*Hypotheses!$B$72</f>
        <v/>
      </c>
      <c r="AG9" s="14">
        <f>AF10*Hypotheses!$B$72</f>
        <v/>
      </c>
      <c r="AH9" s="14">
        <f>AG10*Hypotheses!$B$72</f>
        <v/>
      </c>
      <c r="AI9" s="14">
        <f>AH10*Hypotheses!$B$72</f>
        <v/>
      </c>
      <c r="AJ9" s="14">
        <f>AI10*Hypotheses!$B$72</f>
        <v/>
      </c>
      <c r="AK9" s="14">
        <f>AJ10*Hypotheses!$B$72</f>
        <v/>
      </c>
      <c r="AL9" s="14">
        <f>AK10*Hypotheses!$B$72</f>
        <v/>
      </c>
      <c r="AM9" s="14">
        <f>AL10*Hypotheses!$B$72</f>
        <v/>
      </c>
      <c r="AN9" s="14">
        <f>AM10*Hypotheses!$B$72</f>
        <v/>
      </c>
      <c r="AO9" s="14">
        <f>AN10*Hypotheses!$B$72</f>
        <v/>
      </c>
      <c r="AP9" s="14">
        <f>AO10*Hypotheses!$B$72</f>
        <v/>
      </c>
      <c r="AQ9" s="14">
        <f>AP10*Hypotheses!$B$72</f>
        <v/>
      </c>
      <c r="AR9" s="14">
        <f>AQ10*Hypotheses!$B$72</f>
        <v/>
      </c>
      <c r="AS9" s="14">
        <f>AR10*Hypotheses!$B$72</f>
        <v/>
      </c>
      <c r="AT9" s="14">
        <f>AS10*Hypotheses!$B$72</f>
        <v/>
      </c>
      <c r="AU9" s="14">
        <f>AT10*Hypotheses!$B$72</f>
        <v/>
      </c>
      <c r="AV9" s="14">
        <f>AU10*Hypotheses!$B$72</f>
        <v/>
      </c>
      <c r="AW9" s="14">
        <f>AV10*Hypotheses!$B$72</f>
        <v/>
      </c>
      <c r="AX9" s="14">
        <f>AW10*Hypotheses!$B$72</f>
        <v/>
      </c>
      <c r="AY9" s="14">
        <f>AX10*Hypotheses!$B$72</f>
        <v/>
      </c>
      <c r="AZ9" s="14">
        <f>AY10*Hypotheses!$B$72</f>
        <v/>
      </c>
      <c r="BA9" s="14">
        <f>AZ10*Hypotheses!$B$72</f>
        <v/>
      </c>
      <c r="BB9" s="14">
        <f>BA10*Hypotheses!$B$72</f>
        <v/>
      </c>
      <c r="BC9" s="14">
        <f>BB10*Hypotheses!$B$72</f>
        <v/>
      </c>
      <c r="BD9" s="14">
        <f>BC10*Hypotheses!$B$72</f>
        <v/>
      </c>
      <c r="BE9" s="14">
        <f>BD10*Hypotheses!$B$72</f>
        <v/>
      </c>
      <c r="BF9" s="14">
        <f>BE10*Hypotheses!$B$72</f>
        <v/>
      </c>
      <c r="BG9" s="14">
        <f>BF10*Hypotheses!$B$72</f>
        <v/>
      </c>
      <c r="BH9" s="14">
        <f>BG10*Hypotheses!$B$72</f>
        <v/>
      </c>
      <c r="BI9" s="14">
        <f>BH10*Hypotheses!$B$72</f>
        <v/>
      </c>
      <c r="BJ9" s="14">
        <f>BI10*Hypotheses!$B$72</f>
        <v/>
      </c>
    </row>
    <row r="10">
      <c r="A10" s="8" t="inlineStr">
        <is>
          <t>Clients en fin de mois (libre-service)</t>
        </is>
      </c>
      <c r="C10" s="41">
        <f>Hypotheses!$B$69-C9+C8</f>
        <v/>
      </c>
      <c r="D10" s="41">
        <f>C10-D9+D8</f>
        <v/>
      </c>
      <c r="E10" s="41">
        <f>D10-E9+E8</f>
        <v/>
      </c>
      <c r="F10" s="41">
        <f>E10-F9+F8</f>
        <v/>
      </c>
      <c r="G10" s="41">
        <f>F10-G9+G8</f>
        <v/>
      </c>
      <c r="H10" s="41">
        <f>G10-H9+H8</f>
        <v/>
      </c>
      <c r="I10" s="41">
        <f>H10-I9+I8</f>
        <v/>
      </c>
      <c r="J10" s="41">
        <f>I10-J9+J8</f>
        <v/>
      </c>
      <c r="K10" s="41">
        <f>J10-K9+K8</f>
        <v/>
      </c>
      <c r="L10" s="41">
        <f>K10-L9+L8</f>
        <v/>
      </c>
      <c r="M10" s="41">
        <f>L10-M9+M8</f>
        <v/>
      </c>
      <c r="N10" s="41">
        <f>M10-N9+N8</f>
        <v/>
      </c>
      <c r="O10" s="41">
        <f>N10-O9+O8</f>
        <v/>
      </c>
      <c r="P10" s="41">
        <f>O10-P9+P8</f>
        <v/>
      </c>
      <c r="Q10" s="41">
        <f>P10-Q9+Q8</f>
        <v/>
      </c>
      <c r="R10" s="41">
        <f>Q10-R9+R8</f>
        <v/>
      </c>
      <c r="S10" s="41">
        <f>R10-S9+S8</f>
        <v/>
      </c>
      <c r="T10" s="41">
        <f>S10-T9+T8</f>
        <v/>
      </c>
      <c r="U10" s="41">
        <f>T10-U9+U8</f>
        <v/>
      </c>
      <c r="V10" s="41">
        <f>U10-V9+V8</f>
        <v/>
      </c>
      <c r="W10" s="41">
        <f>V10-W9+W8</f>
        <v/>
      </c>
      <c r="X10" s="41">
        <f>W10-X9+X8</f>
        <v/>
      </c>
      <c r="Y10" s="41">
        <f>X10-Y9+Y8</f>
        <v/>
      </c>
      <c r="Z10" s="41">
        <f>Y10-Z9+Z8</f>
        <v/>
      </c>
      <c r="AA10" s="41">
        <f>Z10-AA9+AA8</f>
        <v/>
      </c>
      <c r="AB10" s="41">
        <f>AA10-AB9+AB8</f>
        <v/>
      </c>
      <c r="AC10" s="41">
        <f>AB10-AC9+AC8</f>
        <v/>
      </c>
      <c r="AD10" s="41">
        <f>AC10-AD9+AD8</f>
        <v/>
      </c>
      <c r="AE10" s="41">
        <f>AD10-AE9+AE8</f>
        <v/>
      </c>
      <c r="AF10" s="41">
        <f>AE10-AF9+AF8</f>
        <v/>
      </c>
      <c r="AG10" s="41">
        <f>AF10-AG9+AG8</f>
        <v/>
      </c>
      <c r="AH10" s="41">
        <f>AG10-AH9+AH8</f>
        <v/>
      </c>
      <c r="AI10" s="41">
        <f>AH10-AI9+AI8</f>
        <v/>
      </c>
      <c r="AJ10" s="41">
        <f>AI10-AJ9+AJ8</f>
        <v/>
      </c>
      <c r="AK10" s="41">
        <f>AJ10-AK9+AK8</f>
        <v/>
      </c>
      <c r="AL10" s="41">
        <f>AK10-AL9+AL8</f>
        <v/>
      </c>
      <c r="AM10" s="41">
        <f>AL10-AM9+AM8</f>
        <v/>
      </c>
      <c r="AN10" s="41">
        <f>AM10-AN9+AN8</f>
        <v/>
      </c>
      <c r="AO10" s="41">
        <f>AN10-AO9+AO8</f>
        <v/>
      </c>
      <c r="AP10" s="41">
        <f>AO10-AP9+AP8</f>
        <v/>
      </c>
      <c r="AQ10" s="41">
        <f>AP10-AQ9+AQ8</f>
        <v/>
      </c>
      <c r="AR10" s="41">
        <f>AQ10-AR9+AR8</f>
        <v/>
      </c>
      <c r="AS10" s="41">
        <f>AR10-AS9+AS8</f>
        <v/>
      </c>
      <c r="AT10" s="41">
        <f>AS10-AT9+AT8</f>
        <v/>
      </c>
      <c r="AU10" s="41">
        <f>AT10-AU9+AU8</f>
        <v/>
      </c>
      <c r="AV10" s="41">
        <f>AU10-AV9+AV8</f>
        <v/>
      </c>
      <c r="AW10" s="41">
        <f>AV10-AW9+AW8</f>
        <v/>
      </c>
      <c r="AX10" s="41">
        <f>AW10-AX9+AX8</f>
        <v/>
      </c>
      <c r="AY10" s="41">
        <f>AX10-AY9+AY8</f>
        <v/>
      </c>
      <c r="AZ10" s="41">
        <f>AY10-AZ9+AZ8</f>
        <v/>
      </c>
      <c r="BA10" s="41">
        <f>AZ10-BA9+BA8</f>
        <v/>
      </c>
      <c r="BB10" s="41">
        <f>BA10-BB9+BB8</f>
        <v/>
      </c>
      <c r="BC10" s="41">
        <f>BB10-BC9+BC8</f>
        <v/>
      </c>
      <c r="BD10" s="41">
        <f>BC10-BD9+BD8</f>
        <v/>
      </c>
      <c r="BE10" s="41">
        <f>BD10-BE9+BE8</f>
        <v/>
      </c>
      <c r="BF10" s="41">
        <f>BE10-BF9+BF8</f>
        <v/>
      </c>
      <c r="BG10" s="41">
        <f>BF10-BG9+BG8</f>
        <v/>
      </c>
      <c r="BH10" s="41">
        <f>BG10-BH9+BH8</f>
        <v/>
      </c>
      <c r="BI10" s="41">
        <f>BH10-BI9+BI8</f>
        <v/>
      </c>
      <c r="BJ10" s="41">
        <f>BI10-BJ9+BJ8</f>
        <v/>
      </c>
    </row>
    <row r="11">
      <c r="A11" s="28" t="inlineStr">
        <is>
          <t>Clients Enterprise</t>
        </is>
      </c>
      <c r="C11" s="56">
        <f>COUNTIFS(Hypotheses!$B$114:$B$118,"&lt;="&amp;C4,Hypotheses!$B$114:$B$118,"&gt;0")</f>
        <v/>
      </c>
      <c r="D11" s="56">
        <f>COUNTIFS(Hypotheses!$B$114:$B$118,"&lt;="&amp;D4,Hypotheses!$B$114:$B$118,"&gt;0")</f>
        <v/>
      </c>
      <c r="E11" s="56">
        <f>COUNTIFS(Hypotheses!$B$114:$B$118,"&lt;="&amp;E4,Hypotheses!$B$114:$B$118,"&gt;0")</f>
        <v/>
      </c>
      <c r="F11" s="56">
        <f>COUNTIFS(Hypotheses!$B$114:$B$118,"&lt;="&amp;F4,Hypotheses!$B$114:$B$118,"&gt;0")</f>
        <v/>
      </c>
      <c r="G11" s="56">
        <f>COUNTIFS(Hypotheses!$B$114:$B$118,"&lt;="&amp;G4,Hypotheses!$B$114:$B$118,"&gt;0")</f>
        <v/>
      </c>
      <c r="H11" s="56">
        <f>COUNTIFS(Hypotheses!$B$114:$B$118,"&lt;="&amp;H4,Hypotheses!$B$114:$B$118,"&gt;0")</f>
        <v/>
      </c>
      <c r="I11" s="56">
        <f>COUNTIFS(Hypotheses!$B$114:$B$118,"&lt;="&amp;I4,Hypotheses!$B$114:$B$118,"&gt;0")</f>
        <v/>
      </c>
      <c r="J11" s="56">
        <f>COUNTIFS(Hypotheses!$B$114:$B$118,"&lt;="&amp;J4,Hypotheses!$B$114:$B$118,"&gt;0")</f>
        <v/>
      </c>
      <c r="K11" s="56">
        <f>COUNTIFS(Hypotheses!$B$114:$B$118,"&lt;="&amp;K4,Hypotheses!$B$114:$B$118,"&gt;0")</f>
        <v/>
      </c>
      <c r="L11" s="56">
        <f>COUNTIFS(Hypotheses!$B$114:$B$118,"&lt;="&amp;L4,Hypotheses!$B$114:$B$118,"&gt;0")</f>
        <v/>
      </c>
      <c r="M11" s="56">
        <f>COUNTIFS(Hypotheses!$B$114:$B$118,"&lt;="&amp;M4,Hypotheses!$B$114:$B$118,"&gt;0")</f>
        <v/>
      </c>
      <c r="N11" s="56">
        <f>COUNTIFS(Hypotheses!$B$114:$B$118,"&lt;="&amp;N4,Hypotheses!$B$114:$B$118,"&gt;0")</f>
        <v/>
      </c>
      <c r="O11" s="56">
        <f>COUNTIFS(Hypotheses!$B$114:$B$118,"&lt;="&amp;O4,Hypotheses!$B$114:$B$118,"&gt;0")</f>
        <v/>
      </c>
      <c r="P11" s="56">
        <f>COUNTIFS(Hypotheses!$B$114:$B$118,"&lt;="&amp;P4,Hypotheses!$B$114:$B$118,"&gt;0")</f>
        <v/>
      </c>
      <c r="Q11" s="56">
        <f>COUNTIFS(Hypotheses!$B$114:$B$118,"&lt;="&amp;Q4,Hypotheses!$B$114:$B$118,"&gt;0")</f>
        <v/>
      </c>
      <c r="R11" s="56">
        <f>COUNTIFS(Hypotheses!$B$114:$B$118,"&lt;="&amp;R4,Hypotheses!$B$114:$B$118,"&gt;0")</f>
        <v/>
      </c>
      <c r="S11" s="56">
        <f>COUNTIFS(Hypotheses!$B$114:$B$118,"&lt;="&amp;S4,Hypotheses!$B$114:$B$118,"&gt;0")</f>
        <v/>
      </c>
      <c r="T11" s="56">
        <f>COUNTIFS(Hypotheses!$B$114:$B$118,"&lt;="&amp;T4,Hypotheses!$B$114:$B$118,"&gt;0")</f>
        <v/>
      </c>
      <c r="U11" s="56">
        <f>COUNTIFS(Hypotheses!$B$114:$B$118,"&lt;="&amp;U4,Hypotheses!$B$114:$B$118,"&gt;0")</f>
        <v/>
      </c>
      <c r="V11" s="56">
        <f>COUNTIFS(Hypotheses!$B$114:$B$118,"&lt;="&amp;V4,Hypotheses!$B$114:$B$118,"&gt;0")</f>
        <v/>
      </c>
      <c r="W11" s="56">
        <f>COUNTIFS(Hypotheses!$B$114:$B$118,"&lt;="&amp;W4,Hypotheses!$B$114:$B$118,"&gt;0")</f>
        <v/>
      </c>
      <c r="X11" s="56">
        <f>COUNTIFS(Hypotheses!$B$114:$B$118,"&lt;="&amp;X4,Hypotheses!$B$114:$B$118,"&gt;0")</f>
        <v/>
      </c>
      <c r="Y11" s="56">
        <f>COUNTIFS(Hypotheses!$B$114:$B$118,"&lt;="&amp;Y4,Hypotheses!$B$114:$B$118,"&gt;0")</f>
        <v/>
      </c>
      <c r="Z11" s="56">
        <f>COUNTIFS(Hypotheses!$B$114:$B$118,"&lt;="&amp;Z4,Hypotheses!$B$114:$B$118,"&gt;0")</f>
        <v/>
      </c>
      <c r="AA11" s="56">
        <f>COUNTIFS(Hypotheses!$B$114:$B$118,"&lt;="&amp;AA4,Hypotheses!$B$114:$B$118,"&gt;0")</f>
        <v/>
      </c>
      <c r="AB11" s="56">
        <f>COUNTIFS(Hypotheses!$B$114:$B$118,"&lt;="&amp;AB4,Hypotheses!$B$114:$B$118,"&gt;0")</f>
        <v/>
      </c>
      <c r="AC11" s="56">
        <f>COUNTIFS(Hypotheses!$B$114:$B$118,"&lt;="&amp;AC4,Hypotheses!$B$114:$B$118,"&gt;0")</f>
        <v/>
      </c>
      <c r="AD11" s="56">
        <f>COUNTIFS(Hypotheses!$B$114:$B$118,"&lt;="&amp;AD4,Hypotheses!$B$114:$B$118,"&gt;0")</f>
        <v/>
      </c>
      <c r="AE11" s="56">
        <f>COUNTIFS(Hypotheses!$B$114:$B$118,"&lt;="&amp;AE4,Hypotheses!$B$114:$B$118,"&gt;0")</f>
        <v/>
      </c>
      <c r="AF11" s="56">
        <f>COUNTIFS(Hypotheses!$B$114:$B$118,"&lt;="&amp;AF4,Hypotheses!$B$114:$B$118,"&gt;0")</f>
        <v/>
      </c>
      <c r="AG11" s="56">
        <f>COUNTIFS(Hypotheses!$B$114:$B$118,"&lt;="&amp;AG4,Hypotheses!$B$114:$B$118,"&gt;0")</f>
        <v/>
      </c>
      <c r="AH11" s="56">
        <f>COUNTIFS(Hypotheses!$B$114:$B$118,"&lt;="&amp;AH4,Hypotheses!$B$114:$B$118,"&gt;0")</f>
        <v/>
      </c>
      <c r="AI11" s="56">
        <f>COUNTIFS(Hypotheses!$B$114:$B$118,"&lt;="&amp;AI4,Hypotheses!$B$114:$B$118,"&gt;0")</f>
        <v/>
      </c>
      <c r="AJ11" s="56">
        <f>COUNTIFS(Hypotheses!$B$114:$B$118,"&lt;="&amp;AJ4,Hypotheses!$B$114:$B$118,"&gt;0")</f>
        <v/>
      </c>
      <c r="AK11" s="56">
        <f>COUNTIFS(Hypotheses!$B$114:$B$118,"&lt;="&amp;AK4,Hypotheses!$B$114:$B$118,"&gt;0")</f>
        <v/>
      </c>
      <c r="AL11" s="56">
        <f>COUNTIFS(Hypotheses!$B$114:$B$118,"&lt;="&amp;AL4,Hypotheses!$B$114:$B$118,"&gt;0")</f>
        <v/>
      </c>
      <c r="AM11" s="56">
        <f>COUNTIFS(Hypotheses!$B$114:$B$118,"&lt;="&amp;AM4,Hypotheses!$B$114:$B$118,"&gt;0")</f>
        <v/>
      </c>
      <c r="AN11" s="56">
        <f>COUNTIFS(Hypotheses!$B$114:$B$118,"&lt;="&amp;AN4,Hypotheses!$B$114:$B$118,"&gt;0")</f>
        <v/>
      </c>
      <c r="AO11" s="56">
        <f>COUNTIFS(Hypotheses!$B$114:$B$118,"&lt;="&amp;AO4,Hypotheses!$B$114:$B$118,"&gt;0")</f>
        <v/>
      </c>
      <c r="AP11" s="56">
        <f>COUNTIFS(Hypotheses!$B$114:$B$118,"&lt;="&amp;AP4,Hypotheses!$B$114:$B$118,"&gt;0")</f>
        <v/>
      </c>
      <c r="AQ11" s="56">
        <f>COUNTIFS(Hypotheses!$B$114:$B$118,"&lt;="&amp;AQ4,Hypotheses!$B$114:$B$118,"&gt;0")</f>
        <v/>
      </c>
      <c r="AR11" s="56">
        <f>COUNTIFS(Hypotheses!$B$114:$B$118,"&lt;="&amp;AR4,Hypotheses!$B$114:$B$118,"&gt;0")</f>
        <v/>
      </c>
      <c r="AS11" s="56">
        <f>COUNTIFS(Hypotheses!$B$114:$B$118,"&lt;="&amp;AS4,Hypotheses!$B$114:$B$118,"&gt;0")</f>
        <v/>
      </c>
      <c r="AT11" s="56">
        <f>COUNTIFS(Hypotheses!$B$114:$B$118,"&lt;="&amp;AT4,Hypotheses!$B$114:$B$118,"&gt;0")</f>
        <v/>
      </c>
      <c r="AU11" s="56">
        <f>COUNTIFS(Hypotheses!$B$114:$B$118,"&lt;="&amp;AU4,Hypotheses!$B$114:$B$118,"&gt;0")</f>
        <v/>
      </c>
      <c r="AV11" s="56">
        <f>COUNTIFS(Hypotheses!$B$114:$B$118,"&lt;="&amp;AV4,Hypotheses!$B$114:$B$118,"&gt;0")</f>
        <v/>
      </c>
      <c r="AW11" s="56">
        <f>COUNTIFS(Hypotheses!$B$114:$B$118,"&lt;="&amp;AW4,Hypotheses!$B$114:$B$118,"&gt;0")</f>
        <v/>
      </c>
      <c r="AX11" s="56">
        <f>COUNTIFS(Hypotheses!$B$114:$B$118,"&lt;="&amp;AX4,Hypotheses!$B$114:$B$118,"&gt;0")</f>
        <v/>
      </c>
      <c r="AY11" s="56">
        <f>COUNTIFS(Hypotheses!$B$114:$B$118,"&lt;="&amp;AY4,Hypotheses!$B$114:$B$118,"&gt;0")</f>
        <v/>
      </c>
      <c r="AZ11" s="56">
        <f>COUNTIFS(Hypotheses!$B$114:$B$118,"&lt;="&amp;AZ4,Hypotheses!$B$114:$B$118,"&gt;0")</f>
        <v/>
      </c>
      <c r="BA11" s="56">
        <f>COUNTIFS(Hypotheses!$B$114:$B$118,"&lt;="&amp;BA4,Hypotheses!$B$114:$B$118,"&gt;0")</f>
        <v/>
      </c>
      <c r="BB11" s="56">
        <f>COUNTIFS(Hypotheses!$B$114:$B$118,"&lt;="&amp;BB4,Hypotheses!$B$114:$B$118,"&gt;0")</f>
        <v/>
      </c>
      <c r="BC11" s="56">
        <f>COUNTIFS(Hypotheses!$B$114:$B$118,"&lt;="&amp;BC4,Hypotheses!$B$114:$B$118,"&gt;0")</f>
        <v/>
      </c>
      <c r="BD11" s="56">
        <f>COUNTIFS(Hypotheses!$B$114:$B$118,"&lt;="&amp;BD4,Hypotheses!$B$114:$B$118,"&gt;0")</f>
        <v/>
      </c>
      <c r="BE11" s="56">
        <f>COUNTIFS(Hypotheses!$B$114:$B$118,"&lt;="&amp;BE4,Hypotheses!$B$114:$B$118,"&gt;0")</f>
        <v/>
      </c>
      <c r="BF11" s="56">
        <f>COUNTIFS(Hypotheses!$B$114:$B$118,"&lt;="&amp;BF4,Hypotheses!$B$114:$B$118,"&gt;0")</f>
        <v/>
      </c>
      <c r="BG11" s="56">
        <f>COUNTIFS(Hypotheses!$B$114:$B$118,"&lt;="&amp;BG4,Hypotheses!$B$114:$B$118,"&gt;0")</f>
        <v/>
      </c>
      <c r="BH11" s="56">
        <f>COUNTIFS(Hypotheses!$B$114:$B$118,"&lt;="&amp;BH4,Hypotheses!$B$114:$B$118,"&gt;0")</f>
        <v/>
      </c>
      <c r="BI11" s="56">
        <f>COUNTIFS(Hypotheses!$B$114:$B$118,"&lt;="&amp;BI4,Hypotheses!$B$114:$B$118,"&gt;0")</f>
        <v/>
      </c>
      <c r="BJ11" s="56">
        <f>COUNTIFS(Hypotheses!$B$114:$B$118,"&lt;="&amp;BJ4,Hypotheses!$B$114:$B$118,"&gt;0")</f>
        <v/>
      </c>
    </row>
    <row r="12">
      <c r="A12" s="28" t="inlineStr">
        <is>
          <t>Nouveaux contrats Enterprise</t>
        </is>
      </c>
      <c r="C12" s="56">
        <f>COUNTIF(Hypotheses!$B$114:$B$118,C4)</f>
        <v/>
      </c>
      <c r="D12" s="56">
        <f>COUNTIF(Hypotheses!$B$114:$B$118,D4)</f>
        <v/>
      </c>
      <c r="E12" s="56">
        <f>COUNTIF(Hypotheses!$B$114:$B$118,E4)</f>
        <v/>
      </c>
      <c r="F12" s="56">
        <f>COUNTIF(Hypotheses!$B$114:$B$118,F4)</f>
        <v/>
      </c>
      <c r="G12" s="56">
        <f>COUNTIF(Hypotheses!$B$114:$B$118,G4)</f>
        <v/>
      </c>
      <c r="H12" s="56">
        <f>COUNTIF(Hypotheses!$B$114:$B$118,H4)</f>
        <v/>
      </c>
      <c r="I12" s="56">
        <f>COUNTIF(Hypotheses!$B$114:$B$118,I4)</f>
        <v/>
      </c>
      <c r="J12" s="56">
        <f>COUNTIF(Hypotheses!$B$114:$B$118,J4)</f>
        <v/>
      </c>
      <c r="K12" s="56">
        <f>COUNTIF(Hypotheses!$B$114:$B$118,K4)</f>
        <v/>
      </c>
      <c r="L12" s="56">
        <f>COUNTIF(Hypotheses!$B$114:$B$118,L4)</f>
        <v/>
      </c>
      <c r="M12" s="56">
        <f>COUNTIF(Hypotheses!$B$114:$B$118,M4)</f>
        <v/>
      </c>
      <c r="N12" s="56">
        <f>COUNTIF(Hypotheses!$B$114:$B$118,N4)</f>
        <v/>
      </c>
      <c r="O12" s="56">
        <f>COUNTIF(Hypotheses!$B$114:$B$118,O4)</f>
        <v/>
      </c>
      <c r="P12" s="56">
        <f>COUNTIF(Hypotheses!$B$114:$B$118,P4)</f>
        <v/>
      </c>
      <c r="Q12" s="56">
        <f>COUNTIF(Hypotheses!$B$114:$B$118,Q4)</f>
        <v/>
      </c>
      <c r="R12" s="56">
        <f>COUNTIF(Hypotheses!$B$114:$B$118,R4)</f>
        <v/>
      </c>
      <c r="S12" s="56">
        <f>COUNTIF(Hypotheses!$B$114:$B$118,S4)</f>
        <v/>
      </c>
      <c r="T12" s="56">
        <f>COUNTIF(Hypotheses!$B$114:$B$118,T4)</f>
        <v/>
      </c>
      <c r="U12" s="56">
        <f>COUNTIF(Hypotheses!$B$114:$B$118,U4)</f>
        <v/>
      </c>
      <c r="V12" s="56">
        <f>COUNTIF(Hypotheses!$B$114:$B$118,V4)</f>
        <v/>
      </c>
      <c r="W12" s="56">
        <f>COUNTIF(Hypotheses!$B$114:$B$118,W4)</f>
        <v/>
      </c>
      <c r="X12" s="56">
        <f>COUNTIF(Hypotheses!$B$114:$B$118,X4)</f>
        <v/>
      </c>
      <c r="Y12" s="56">
        <f>COUNTIF(Hypotheses!$B$114:$B$118,Y4)</f>
        <v/>
      </c>
      <c r="Z12" s="56">
        <f>COUNTIF(Hypotheses!$B$114:$B$118,Z4)</f>
        <v/>
      </c>
      <c r="AA12" s="56">
        <f>COUNTIF(Hypotheses!$B$114:$B$118,AA4)</f>
        <v/>
      </c>
      <c r="AB12" s="56">
        <f>COUNTIF(Hypotheses!$B$114:$B$118,AB4)</f>
        <v/>
      </c>
      <c r="AC12" s="56">
        <f>COUNTIF(Hypotheses!$B$114:$B$118,AC4)</f>
        <v/>
      </c>
      <c r="AD12" s="56">
        <f>COUNTIF(Hypotheses!$B$114:$B$118,AD4)</f>
        <v/>
      </c>
      <c r="AE12" s="56">
        <f>COUNTIF(Hypotheses!$B$114:$B$118,AE4)</f>
        <v/>
      </c>
      <c r="AF12" s="56">
        <f>COUNTIF(Hypotheses!$B$114:$B$118,AF4)</f>
        <v/>
      </c>
      <c r="AG12" s="56">
        <f>COUNTIF(Hypotheses!$B$114:$B$118,AG4)</f>
        <v/>
      </c>
      <c r="AH12" s="56">
        <f>COUNTIF(Hypotheses!$B$114:$B$118,AH4)</f>
        <v/>
      </c>
      <c r="AI12" s="56">
        <f>COUNTIF(Hypotheses!$B$114:$B$118,AI4)</f>
        <v/>
      </c>
      <c r="AJ12" s="56">
        <f>COUNTIF(Hypotheses!$B$114:$B$118,AJ4)</f>
        <v/>
      </c>
      <c r="AK12" s="56">
        <f>COUNTIF(Hypotheses!$B$114:$B$118,AK4)</f>
        <v/>
      </c>
      <c r="AL12" s="56">
        <f>COUNTIF(Hypotheses!$B$114:$B$118,AL4)</f>
        <v/>
      </c>
      <c r="AM12" s="56">
        <f>COUNTIF(Hypotheses!$B$114:$B$118,AM4)</f>
        <v/>
      </c>
      <c r="AN12" s="56">
        <f>COUNTIF(Hypotheses!$B$114:$B$118,AN4)</f>
        <v/>
      </c>
      <c r="AO12" s="56">
        <f>COUNTIF(Hypotheses!$B$114:$B$118,AO4)</f>
        <v/>
      </c>
      <c r="AP12" s="56">
        <f>COUNTIF(Hypotheses!$B$114:$B$118,AP4)</f>
        <v/>
      </c>
      <c r="AQ12" s="56">
        <f>COUNTIF(Hypotheses!$B$114:$B$118,AQ4)</f>
        <v/>
      </c>
      <c r="AR12" s="56">
        <f>COUNTIF(Hypotheses!$B$114:$B$118,AR4)</f>
        <v/>
      </c>
      <c r="AS12" s="56">
        <f>COUNTIF(Hypotheses!$B$114:$B$118,AS4)</f>
        <v/>
      </c>
      <c r="AT12" s="56">
        <f>COUNTIF(Hypotheses!$B$114:$B$118,AT4)</f>
        <v/>
      </c>
      <c r="AU12" s="56">
        <f>COUNTIF(Hypotheses!$B$114:$B$118,AU4)</f>
        <v/>
      </c>
      <c r="AV12" s="56">
        <f>COUNTIF(Hypotheses!$B$114:$B$118,AV4)</f>
        <v/>
      </c>
      <c r="AW12" s="56">
        <f>COUNTIF(Hypotheses!$B$114:$B$118,AW4)</f>
        <v/>
      </c>
      <c r="AX12" s="56">
        <f>COUNTIF(Hypotheses!$B$114:$B$118,AX4)</f>
        <v/>
      </c>
      <c r="AY12" s="56">
        <f>COUNTIF(Hypotheses!$B$114:$B$118,AY4)</f>
        <v/>
      </c>
      <c r="AZ12" s="56">
        <f>COUNTIF(Hypotheses!$B$114:$B$118,AZ4)</f>
        <v/>
      </c>
      <c r="BA12" s="56">
        <f>COUNTIF(Hypotheses!$B$114:$B$118,BA4)</f>
        <v/>
      </c>
      <c r="BB12" s="56">
        <f>COUNTIF(Hypotheses!$B$114:$B$118,BB4)</f>
        <v/>
      </c>
      <c r="BC12" s="56">
        <f>COUNTIF(Hypotheses!$B$114:$B$118,BC4)</f>
        <v/>
      </c>
      <c r="BD12" s="56">
        <f>COUNTIF(Hypotheses!$B$114:$B$118,BD4)</f>
        <v/>
      </c>
      <c r="BE12" s="56">
        <f>COUNTIF(Hypotheses!$B$114:$B$118,BE4)</f>
        <v/>
      </c>
      <c r="BF12" s="56">
        <f>COUNTIF(Hypotheses!$B$114:$B$118,BF4)</f>
        <v/>
      </c>
      <c r="BG12" s="56">
        <f>COUNTIF(Hypotheses!$B$114:$B$118,BG4)</f>
        <v/>
      </c>
      <c r="BH12" s="56">
        <f>COUNTIF(Hypotheses!$B$114:$B$118,BH4)</f>
        <v/>
      </c>
      <c r="BI12" s="56">
        <f>COUNTIF(Hypotheses!$B$114:$B$118,BI4)</f>
        <v/>
      </c>
      <c r="BJ12" s="56">
        <f>COUNTIF(Hypotheses!$B$114:$B$118,BJ4)</f>
        <v/>
      </c>
    </row>
    <row r="13">
      <c r="A13" s="28" t="inlineStr">
        <is>
          <t>siège — Starter</t>
        </is>
      </c>
      <c r="C13" s="14">
        <f>C10*Hypotheses!$B$76*Hypotheses!$C$76</f>
        <v/>
      </c>
      <c r="D13" s="14">
        <f>D10*Hypotheses!$B$76*Hypotheses!$C$76</f>
        <v/>
      </c>
      <c r="E13" s="14">
        <f>E10*Hypotheses!$B$76*Hypotheses!$C$76</f>
        <v/>
      </c>
      <c r="F13" s="14">
        <f>F10*Hypotheses!$B$76*Hypotheses!$C$76</f>
        <v/>
      </c>
      <c r="G13" s="14">
        <f>G10*Hypotheses!$B$76*Hypotheses!$C$76</f>
        <v/>
      </c>
      <c r="H13" s="14">
        <f>H10*Hypotheses!$B$76*Hypotheses!$C$76</f>
        <v/>
      </c>
      <c r="I13" s="14">
        <f>I10*Hypotheses!$B$76*Hypotheses!$C$76</f>
        <v/>
      </c>
      <c r="J13" s="14">
        <f>J10*Hypotheses!$B$76*Hypotheses!$C$76</f>
        <v/>
      </c>
      <c r="K13" s="14">
        <f>K10*Hypotheses!$B$76*Hypotheses!$C$76</f>
        <v/>
      </c>
      <c r="L13" s="14">
        <f>L10*Hypotheses!$B$76*Hypotheses!$C$76</f>
        <v/>
      </c>
      <c r="M13" s="14">
        <f>M10*Hypotheses!$B$76*Hypotheses!$C$76</f>
        <v/>
      </c>
      <c r="N13" s="14">
        <f>N10*Hypotheses!$B$76*Hypotheses!$C$76</f>
        <v/>
      </c>
      <c r="O13" s="14">
        <f>O10*Hypotheses!$B$76*Hypotheses!$C$76</f>
        <v/>
      </c>
      <c r="P13" s="14">
        <f>P10*Hypotheses!$B$76*Hypotheses!$C$76</f>
        <v/>
      </c>
      <c r="Q13" s="14">
        <f>Q10*Hypotheses!$B$76*Hypotheses!$C$76</f>
        <v/>
      </c>
      <c r="R13" s="14">
        <f>R10*Hypotheses!$B$76*Hypotheses!$C$76</f>
        <v/>
      </c>
      <c r="S13" s="14">
        <f>S10*Hypotheses!$B$76*Hypotheses!$C$76</f>
        <v/>
      </c>
      <c r="T13" s="14">
        <f>T10*Hypotheses!$B$76*Hypotheses!$C$76</f>
        <v/>
      </c>
      <c r="U13" s="14">
        <f>U10*Hypotheses!$B$76*Hypotheses!$C$76</f>
        <v/>
      </c>
      <c r="V13" s="14">
        <f>V10*Hypotheses!$B$76*Hypotheses!$C$76</f>
        <v/>
      </c>
      <c r="W13" s="14">
        <f>W10*Hypotheses!$B$76*Hypotheses!$C$76</f>
        <v/>
      </c>
      <c r="X13" s="14">
        <f>X10*Hypotheses!$B$76*Hypotheses!$C$76</f>
        <v/>
      </c>
      <c r="Y13" s="14">
        <f>Y10*Hypotheses!$B$76*Hypotheses!$C$76</f>
        <v/>
      </c>
      <c r="Z13" s="14">
        <f>Z10*Hypotheses!$B$76*Hypotheses!$C$76</f>
        <v/>
      </c>
      <c r="AA13" s="14">
        <f>AA10*Hypotheses!$B$76*Hypotheses!$C$76</f>
        <v/>
      </c>
      <c r="AB13" s="14">
        <f>AB10*Hypotheses!$B$76*Hypotheses!$C$76</f>
        <v/>
      </c>
      <c r="AC13" s="14">
        <f>AC10*Hypotheses!$B$76*Hypotheses!$C$76</f>
        <v/>
      </c>
      <c r="AD13" s="14">
        <f>AD10*Hypotheses!$B$76*Hypotheses!$C$76</f>
        <v/>
      </c>
      <c r="AE13" s="14">
        <f>AE10*Hypotheses!$B$76*Hypotheses!$C$76</f>
        <v/>
      </c>
      <c r="AF13" s="14">
        <f>AF10*Hypotheses!$B$76*Hypotheses!$C$76</f>
        <v/>
      </c>
      <c r="AG13" s="14">
        <f>AG10*Hypotheses!$B$76*Hypotheses!$C$76</f>
        <v/>
      </c>
      <c r="AH13" s="14">
        <f>AH10*Hypotheses!$B$76*Hypotheses!$C$76</f>
        <v/>
      </c>
      <c r="AI13" s="14">
        <f>AI10*Hypotheses!$B$76*Hypotheses!$C$76</f>
        <v/>
      </c>
      <c r="AJ13" s="14">
        <f>AJ10*Hypotheses!$B$76*Hypotheses!$C$76</f>
        <v/>
      </c>
      <c r="AK13" s="14">
        <f>AK10*Hypotheses!$B$76*Hypotheses!$C$76</f>
        <v/>
      </c>
      <c r="AL13" s="14">
        <f>AL10*Hypotheses!$B$76*Hypotheses!$C$76</f>
        <v/>
      </c>
      <c r="AM13" s="14">
        <f>AM10*Hypotheses!$B$76*Hypotheses!$C$76</f>
        <v/>
      </c>
      <c r="AN13" s="14">
        <f>AN10*Hypotheses!$B$76*Hypotheses!$C$76</f>
        <v/>
      </c>
      <c r="AO13" s="14">
        <f>AO10*Hypotheses!$B$76*Hypotheses!$C$76</f>
        <v/>
      </c>
      <c r="AP13" s="14">
        <f>AP10*Hypotheses!$B$76*Hypotheses!$C$76</f>
        <v/>
      </c>
      <c r="AQ13" s="14">
        <f>AQ10*Hypotheses!$B$76*Hypotheses!$C$76</f>
        <v/>
      </c>
      <c r="AR13" s="14">
        <f>AR10*Hypotheses!$B$76*Hypotheses!$C$76</f>
        <v/>
      </c>
      <c r="AS13" s="14">
        <f>AS10*Hypotheses!$B$76*Hypotheses!$C$76</f>
        <v/>
      </c>
      <c r="AT13" s="14">
        <f>AT10*Hypotheses!$B$76*Hypotheses!$C$76</f>
        <v/>
      </c>
      <c r="AU13" s="14">
        <f>AU10*Hypotheses!$B$76*Hypotheses!$C$76</f>
        <v/>
      </c>
      <c r="AV13" s="14">
        <f>AV10*Hypotheses!$B$76*Hypotheses!$C$76</f>
        <v/>
      </c>
      <c r="AW13" s="14">
        <f>AW10*Hypotheses!$B$76*Hypotheses!$C$76</f>
        <v/>
      </c>
      <c r="AX13" s="14">
        <f>AX10*Hypotheses!$B$76*Hypotheses!$C$76</f>
        <v/>
      </c>
      <c r="AY13" s="14">
        <f>AY10*Hypotheses!$B$76*Hypotheses!$C$76</f>
        <v/>
      </c>
      <c r="AZ13" s="14">
        <f>AZ10*Hypotheses!$B$76*Hypotheses!$C$76</f>
        <v/>
      </c>
      <c r="BA13" s="14">
        <f>BA10*Hypotheses!$B$76*Hypotheses!$C$76</f>
        <v/>
      </c>
      <c r="BB13" s="14">
        <f>BB10*Hypotheses!$B$76*Hypotheses!$C$76</f>
        <v/>
      </c>
      <c r="BC13" s="14">
        <f>BC10*Hypotheses!$B$76*Hypotheses!$C$76</f>
        <v/>
      </c>
      <c r="BD13" s="14">
        <f>BD10*Hypotheses!$B$76*Hypotheses!$C$76</f>
        <v/>
      </c>
      <c r="BE13" s="14">
        <f>BE10*Hypotheses!$B$76*Hypotheses!$C$76</f>
        <v/>
      </c>
      <c r="BF13" s="14">
        <f>BF10*Hypotheses!$B$76*Hypotheses!$C$76</f>
        <v/>
      </c>
      <c r="BG13" s="14">
        <f>BG10*Hypotheses!$B$76*Hypotheses!$C$76</f>
        <v/>
      </c>
      <c r="BH13" s="14">
        <f>BH10*Hypotheses!$B$76*Hypotheses!$C$76</f>
        <v/>
      </c>
      <c r="BI13" s="14">
        <f>BI10*Hypotheses!$B$76*Hypotheses!$C$76</f>
        <v/>
      </c>
      <c r="BJ13" s="14">
        <f>BJ10*Hypotheses!$B$76*Hypotheses!$C$76</f>
        <v/>
      </c>
    </row>
    <row r="14">
      <c r="A14" s="28" t="inlineStr">
        <is>
          <t>siège — Growth</t>
        </is>
      </c>
      <c r="C14" s="14">
        <f>C10*Hypotheses!$B$77*Hypotheses!$C$77</f>
        <v/>
      </c>
      <c r="D14" s="14">
        <f>D10*Hypotheses!$B$77*Hypotheses!$C$77</f>
        <v/>
      </c>
      <c r="E14" s="14">
        <f>E10*Hypotheses!$B$77*Hypotheses!$C$77</f>
        <v/>
      </c>
      <c r="F14" s="14">
        <f>F10*Hypotheses!$B$77*Hypotheses!$C$77</f>
        <v/>
      </c>
      <c r="G14" s="14">
        <f>G10*Hypotheses!$B$77*Hypotheses!$C$77</f>
        <v/>
      </c>
      <c r="H14" s="14">
        <f>H10*Hypotheses!$B$77*Hypotheses!$C$77</f>
        <v/>
      </c>
      <c r="I14" s="14">
        <f>I10*Hypotheses!$B$77*Hypotheses!$C$77</f>
        <v/>
      </c>
      <c r="J14" s="14">
        <f>J10*Hypotheses!$B$77*Hypotheses!$C$77</f>
        <v/>
      </c>
      <c r="K14" s="14">
        <f>K10*Hypotheses!$B$77*Hypotheses!$C$77</f>
        <v/>
      </c>
      <c r="L14" s="14">
        <f>L10*Hypotheses!$B$77*Hypotheses!$C$77</f>
        <v/>
      </c>
      <c r="M14" s="14">
        <f>M10*Hypotheses!$B$77*Hypotheses!$C$77</f>
        <v/>
      </c>
      <c r="N14" s="14">
        <f>N10*Hypotheses!$B$77*Hypotheses!$C$77</f>
        <v/>
      </c>
      <c r="O14" s="14">
        <f>O10*Hypotheses!$B$77*Hypotheses!$C$77</f>
        <v/>
      </c>
      <c r="P14" s="14">
        <f>P10*Hypotheses!$B$77*Hypotheses!$C$77</f>
        <v/>
      </c>
      <c r="Q14" s="14">
        <f>Q10*Hypotheses!$B$77*Hypotheses!$C$77</f>
        <v/>
      </c>
      <c r="R14" s="14">
        <f>R10*Hypotheses!$B$77*Hypotheses!$C$77</f>
        <v/>
      </c>
      <c r="S14" s="14">
        <f>S10*Hypotheses!$B$77*Hypotheses!$C$77</f>
        <v/>
      </c>
      <c r="T14" s="14">
        <f>T10*Hypotheses!$B$77*Hypotheses!$C$77</f>
        <v/>
      </c>
      <c r="U14" s="14">
        <f>U10*Hypotheses!$B$77*Hypotheses!$C$77</f>
        <v/>
      </c>
      <c r="V14" s="14">
        <f>V10*Hypotheses!$B$77*Hypotheses!$C$77</f>
        <v/>
      </c>
      <c r="W14" s="14">
        <f>W10*Hypotheses!$B$77*Hypotheses!$C$77</f>
        <v/>
      </c>
      <c r="X14" s="14">
        <f>X10*Hypotheses!$B$77*Hypotheses!$C$77</f>
        <v/>
      </c>
      <c r="Y14" s="14">
        <f>Y10*Hypotheses!$B$77*Hypotheses!$C$77</f>
        <v/>
      </c>
      <c r="Z14" s="14">
        <f>Z10*Hypotheses!$B$77*Hypotheses!$C$77</f>
        <v/>
      </c>
      <c r="AA14" s="14">
        <f>AA10*Hypotheses!$B$77*Hypotheses!$C$77</f>
        <v/>
      </c>
      <c r="AB14" s="14">
        <f>AB10*Hypotheses!$B$77*Hypotheses!$C$77</f>
        <v/>
      </c>
      <c r="AC14" s="14">
        <f>AC10*Hypotheses!$B$77*Hypotheses!$C$77</f>
        <v/>
      </c>
      <c r="AD14" s="14">
        <f>AD10*Hypotheses!$B$77*Hypotheses!$C$77</f>
        <v/>
      </c>
      <c r="AE14" s="14">
        <f>AE10*Hypotheses!$B$77*Hypotheses!$C$77</f>
        <v/>
      </c>
      <c r="AF14" s="14">
        <f>AF10*Hypotheses!$B$77*Hypotheses!$C$77</f>
        <v/>
      </c>
      <c r="AG14" s="14">
        <f>AG10*Hypotheses!$B$77*Hypotheses!$C$77</f>
        <v/>
      </c>
      <c r="AH14" s="14">
        <f>AH10*Hypotheses!$B$77*Hypotheses!$C$77</f>
        <v/>
      </c>
      <c r="AI14" s="14">
        <f>AI10*Hypotheses!$B$77*Hypotheses!$C$77</f>
        <v/>
      </c>
      <c r="AJ14" s="14">
        <f>AJ10*Hypotheses!$B$77*Hypotheses!$C$77</f>
        <v/>
      </c>
      <c r="AK14" s="14">
        <f>AK10*Hypotheses!$B$77*Hypotheses!$C$77</f>
        <v/>
      </c>
      <c r="AL14" s="14">
        <f>AL10*Hypotheses!$B$77*Hypotheses!$C$77</f>
        <v/>
      </c>
      <c r="AM14" s="14">
        <f>AM10*Hypotheses!$B$77*Hypotheses!$C$77</f>
        <v/>
      </c>
      <c r="AN14" s="14">
        <f>AN10*Hypotheses!$B$77*Hypotheses!$C$77</f>
        <v/>
      </c>
      <c r="AO14" s="14">
        <f>AO10*Hypotheses!$B$77*Hypotheses!$C$77</f>
        <v/>
      </c>
      <c r="AP14" s="14">
        <f>AP10*Hypotheses!$B$77*Hypotheses!$C$77</f>
        <v/>
      </c>
      <c r="AQ14" s="14">
        <f>AQ10*Hypotheses!$B$77*Hypotheses!$C$77</f>
        <v/>
      </c>
      <c r="AR14" s="14">
        <f>AR10*Hypotheses!$B$77*Hypotheses!$C$77</f>
        <v/>
      </c>
      <c r="AS14" s="14">
        <f>AS10*Hypotheses!$B$77*Hypotheses!$C$77</f>
        <v/>
      </c>
      <c r="AT14" s="14">
        <f>AT10*Hypotheses!$B$77*Hypotheses!$C$77</f>
        <v/>
      </c>
      <c r="AU14" s="14">
        <f>AU10*Hypotheses!$B$77*Hypotheses!$C$77</f>
        <v/>
      </c>
      <c r="AV14" s="14">
        <f>AV10*Hypotheses!$B$77*Hypotheses!$C$77</f>
        <v/>
      </c>
      <c r="AW14" s="14">
        <f>AW10*Hypotheses!$B$77*Hypotheses!$C$77</f>
        <v/>
      </c>
      <c r="AX14" s="14">
        <f>AX10*Hypotheses!$B$77*Hypotheses!$C$77</f>
        <v/>
      </c>
      <c r="AY14" s="14">
        <f>AY10*Hypotheses!$B$77*Hypotheses!$C$77</f>
        <v/>
      </c>
      <c r="AZ14" s="14">
        <f>AZ10*Hypotheses!$B$77*Hypotheses!$C$77</f>
        <v/>
      </c>
      <c r="BA14" s="14">
        <f>BA10*Hypotheses!$B$77*Hypotheses!$C$77</f>
        <v/>
      </c>
      <c r="BB14" s="14">
        <f>BB10*Hypotheses!$B$77*Hypotheses!$C$77</f>
        <v/>
      </c>
      <c r="BC14" s="14">
        <f>BC10*Hypotheses!$B$77*Hypotheses!$C$77</f>
        <v/>
      </c>
      <c r="BD14" s="14">
        <f>BD10*Hypotheses!$B$77*Hypotheses!$C$77</f>
        <v/>
      </c>
      <c r="BE14" s="14">
        <f>BE10*Hypotheses!$B$77*Hypotheses!$C$77</f>
        <v/>
      </c>
      <c r="BF14" s="14">
        <f>BF10*Hypotheses!$B$77*Hypotheses!$C$77</f>
        <v/>
      </c>
      <c r="BG14" s="14">
        <f>BG10*Hypotheses!$B$77*Hypotheses!$C$77</f>
        <v/>
      </c>
      <c r="BH14" s="14">
        <f>BH10*Hypotheses!$B$77*Hypotheses!$C$77</f>
        <v/>
      </c>
      <c r="BI14" s="14">
        <f>BI10*Hypotheses!$B$77*Hypotheses!$C$77</f>
        <v/>
      </c>
      <c r="BJ14" s="14">
        <f>BJ10*Hypotheses!$B$77*Hypotheses!$C$77</f>
        <v/>
      </c>
    </row>
    <row r="15">
      <c r="A15" s="28" t="inlineStr">
        <is>
          <t>siège — Elite</t>
        </is>
      </c>
      <c r="C15" s="14">
        <f>C10*Hypotheses!$B$78*Hypotheses!$C$78</f>
        <v/>
      </c>
      <c r="D15" s="14">
        <f>D10*Hypotheses!$B$78*Hypotheses!$C$78</f>
        <v/>
      </c>
      <c r="E15" s="14">
        <f>E10*Hypotheses!$B$78*Hypotheses!$C$78</f>
        <v/>
      </c>
      <c r="F15" s="14">
        <f>F10*Hypotheses!$B$78*Hypotheses!$C$78</f>
        <v/>
      </c>
      <c r="G15" s="14">
        <f>G10*Hypotheses!$B$78*Hypotheses!$C$78</f>
        <v/>
      </c>
      <c r="H15" s="14">
        <f>H10*Hypotheses!$B$78*Hypotheses!$C$78</f>
        <v/>
      </c>
      <c r="I15" s="14">
        <f>I10*Hypotheses!$B$78*Hypotheses!$C$78</f>
        <v/>
      </c>
      <c r="J15" s="14">
        <f>J10*Hypotheses!$B$78*Hypotheses!$C$78</f>
        <v/>
      </c>
      <c r="K15" s="14">
        <f>K10*Hypotheses!$B$78*Hypotheses!$C$78</f>
        <v/>
      </c>
      <c r="L15" s="14">
        <f>L10*Hypotheses!$B$78*Hypotheses!$C$78</f>
        <v/>
      </c>
      <c r="M15" s="14">
        <f>M10*Hypotheses!$B$78*Hypotheses!$C$78</f>
        <v/>
      </c>
      <c r="N15" s="14">
        <f>N10*Hypotheses!$B$78*Hypotheses!$C$78</f>
        <v/>
      </c>
      <c r="O15" s="14">
        <f>O10*Hypotheses!$B$78*Hypotheses!$C$78</f>
        <v/>
      </c>
      <c r="P15" s="14">
        <f>P10*Hypotheses!$B$78*Hypotheses!$C$78</f>
        <v/>
      </c>
      <c r="Q15" s="14">
        <f>Q10*Hypotheses!$B$78*Hypotheses!$C$78</f>
        <v/>
      </c>
      <c r="R15" s="14">
        <f>R10*Hypotheses!$B$78*Hypotheses!$C$78</f>
        <v/>
      </c>
      <c r="S15" s="14">
        <f>S10*Hypotheses!$B$78*Hypotheses!$C$78</f>
        <v/>
      </c>
      <c r="T15" s="14">
        <f>T10*Hypotheses!$B$78*Hypotheses!$C$78</f>
        <v/>
      </c>
      <c r="U15" s="14">
        <f>U10*Hypotheses!$B$78*Hypotheses!$C$78</f>
        <v/>
      </c>
      <c r="V15" s="14">
        <f>V10*Hypotheses!$B$78*Hypotheses!$C$78</f>
        <v/>
      </c>
      <c r="W15" s="14">
        <f>W10*Hypotheses!$B$78*Hypotheses!$C$78</f>
        <v/>
      </c>
      <c r="X15" s="14">
        <f>X10*Hypotheses!$B$78*Hypotheses!$C$78</f>
        <v/>
      </c>
      <c r="Y15" s="14">
        <f>Y10*Hypotheses!$B$78*Hypotheses!$C$78</f>
        <v/>
      </c>
      <c r="Z15" s="14">
        <f>Z10*Hypotheses!$B$78*Hypotheses!$C$78</f>
        <v/>
      </c>
      <c r="AA15" s="14">
        <f>AA10*Hypotheses!$B$78*Hypotheses!$C$78</f>
        <v/>
      </c>
      <c r="AB15" s="14">
        <f>AB10*Hypotheses!$B$78*Hypotheses!$C$78</f>
        <v/>
      </c>
      <c r="AC15" s="14">
        <f>AC10*Hypotheses!$B$78*Hypotheses!$C$78</f>
        <v/>
      </c>
      <c r="AD15" s="14">
        <f>AD10*Hypotheses!$B$78*Hypotheses!$C$78</f>
        <v/>
      </c>
      <c r="AE15" s="14">
        <f>AE10*Hypotheses!$B$78*Hypotheses!$C$78</f>
        <v/>
      </c>
      <c r="AF15" s="14">
        <f>AF10*Hypotheses!$B$78*Hypotheses!$C$78</f>
        <v/>
      </c>
      <c r="AG15" s="14">
        <f>AG10*Hypotheses!$B$78*Hypotheses!$C$78</f>
        <v/>
      </c>
      <c r="AH15" s="14">
        <f>AH10*Hypotheses!$B$78*Hypotheses!$C$78</f>
        <v/>
      </c>
      <c r="AI15" s="14">
        <f>AI10*Hypotheses!$B$78*Hypotheses!$C$78</f>
        <v/>
      </c>
      <c r="AJ15" s="14">
        <f>AJ10*Hypotheses!$B$78*Hypotheses!$C$78</f>
        <v/>
      </c>
      <c r="AK15" s="14">
        <f>AK10*Hypotheses!$B$78*Hypotheses!$C$78</f>
        <v/>
      </c>
      <c r="AL15" s="14">
        <f>AL10*Hypotheses!$B$78*Hypotheses!$C$78</f>
        <v/>
      </c>
      <c r="AM15" s="14">
        <f>AM10*Hypotheses!$B$78*Hypotheses!$C$78</f>
        <v/>
      </c>
      <c r="AN15" s="14">
        <f>AN10*Hypotheses!$B$78*Hypotheses!$C$78</f>
        <v/>
      </c>
      <c r="AO15" s="14">
        <f>AO10*Hypotheses!$B$78*Hypotheses!$C$78</f>
        <v/>
      </c>
      <c r="AP15" s="14">
        <f>AP10*Hypotheses!$B$78*Hypotheses!$C$78</f>
        <v/>
      </c>
      <c r="AQ15" s="14">
        <f>AQ10*Hypotheses!$B$78*Hypotheses!$C$78</f>
        <v/>
      </c>
      <c r="AR15" s="14">
        <f>AR10*Hypotheses!$B$78*Hypotheses!$C$78</f>
        <v/>
      </c>
      <c r="AS15" s="14">
        <f>AS10*Hypotheses!$B$78*Hypotheses!$C$78</f>
        <v/>
      </c>
      <c r="AT15" s="14">
        <f>AT10*Hypotheses!$B$78*Hypotheses!$C$78</f>
        <v/>
      </c>
      <c r="AU15" s="14">
        <f>AU10*Hypotheses!$B$78*Hypotheses!$C$78</f>
        <v/>
      </c>
      <c r="AV15" s="14">
        <f>AV10*Hypotheses!$B$78*Hypotheses!$C$78</f>
        <v/>
      </c>
      <c r="AW15" s="14">
        <f>AW10*Hypotheses!$B$78*Hypotheses!$C$78</f>
        <v/>
      </c>
      <c r="AX15" s="14">
        <f>AX10*Hypotheses!$B$78*Hypotheses!$C$78</f>
        <v/>
      </c>
      <c r="AY15" s="14">
        <f>AY10*Hypotheses!$B$78*Hypotheses!$C$78</f>
        <v/>
      </c>
      <c r="AZ15" s="14">
        <f>AZ10*Hypotheses!$B$78*Hypotheses!$C$78</f>
        <v/>
      </c>
      <c r="BA15" s="14">
        <f>BA10*Hypotheses!$B$78*Hypotheses!$C$78</f>
        <v/>
      </c>
      <c r="BB15" s="14">
        <f>BB10*Hypotheses!$B$78*Hypotheses!$C$78</f>
        <v/>
      </c>
      <c r="BC15" s="14">
        <f>BC10*Hypotheses!$B$78*Hypotheses!$C$78</f>
        <v/>
      </c>
      <c r="BD15" s="14">
        <f>BD10*Hypotheses!$B$78*Hypotheses!$C$78</f>
        <v/>
      </c>
      <c r="BE15" s="14">
        <f>BE10*Hypotheses!$B$78*Hypotheses!$C$78</f>
        <v/>
      </c>
      <c r="BF15" s="14">
        <f>BF10*Hypotheses!$B$78*Hypotheses!$C$78</f>
        <v/>
      </c>
      <c r="BG15" s="14">
        <f>BG10*Hypotheses!$B$78*Hypotheses!$C$78</f>
        <v/>
      </c>
      <c r="BH15" s="14">
        <f>BH10*Hypotheses!$B$78*Hypotheses!$C$78</f>
        <v/>
      </c>
      <c r="BI15" s="14">
        <f>BI10*Hypotheses!$B$78*Hypotheses!$C$78</f>
        <v/>
      </c>
      <c r="BJ15" s="14">
        <f>BJ10*Hypotheses!$B$78*Hypotheses!$C$78</f>
        <v/>
      </c>
    </row>
    <row r="16">
      <c r="A16" s="28" t="inlineStr">
        <is>
          <t>siège — Enterprise</t>
        </is>
      </c>
      <c r="C16" s="14">
        <f>SUMIFS(Hypotheses!$C$114:$C$118,Hypotheses!$B$114:$B$118,"&lt;="&amp;C4,Hypotheses!$B$114:$B$118,"&gt;0")</f>
        <v/>
      </c>
      <c r="D16" s="14">
        <f>SUMIFS(Hypotheses!$C$114:$C$118,Hypotheses!$B$114:$B$118,"&lt;="&amp;D4,Hypotheses!$B$114:$B$118,"&gt;0")</f>
        <v/>
      </c>
      <c r="E16" s="14">
        <f>SUMIFS(Hypotheses!$C$114:$C$118,Hypotheses!$B$114:$B$118,"&lt;="&amp;E4,Hypotheses!$B$114:$B$118,"&gt;0")</f>
        <v/>
      </c>
      <c r="F16" s="14">
        <f>SUMIFS(Hypotheses!$C$114:$C$118,Hypotheses!$B$114:$B$118,"&lt;="&amp;F4,Hypotheses!$B$114:$B$118,"&gt;0")</f>
        <v/>
      </c>
      <c r="G16" s="14">
        <f>SUMIFS(Hypotheses!$C$114:$C$118,Hypotheses!$B$114:$B$118,"&lt;="&amp;G4,Hypotheses!$B$114:$B$118,"&gt;0")</f>
        <v/>
      </c>
      <c r="H16" s="14">
        <f>SUMIFS(Hypotheses!$C$114:$C$118,Hypotheses!$B$114:$B$118,"&lt;="&amp;H4,Hypotheses!$B$114:$B$118,"&gt;0")</f>
        <v/>
      </c>
      <c r="I16" s="14">
        <f>SUMIFS(Hypotheses!$C$114:$C$118,Hypotheses!$B$114:$B$118,"&lt;="&amp;I4,Hypotheses!$B$114:$B$118,"&gt;0")</f>
        <v/>
      </c>
      <c r="J16" s="14">
        <f>SUMIFS(Hypotheses!$C$114:$C$118,Hypotheses!$B$114:$B$118,"&lt;="&amp;J4,Hypotheses!$B$114:$B$118,"&gt;0")</f>
        <v/>
      </c>
      <c r="K16" s="14">
        <f>SUMIFS(Hypotheses!$C$114:$C$118,Hypotheses!$B$114:$B$118,"&lt;="&amp;K4,Hypotheses!$B$114:$B$118,"&gt;0")</f>
        <v/>
      </c>
      <c r="L16" s="14">
        <f>SUMIFS(Hypotheses!$C$114:$C$118,Hypotheses!$B$114:$B$118,"&lt;="&amp;L4,Hypotheses!$B$114:$B$118,"&gt;0")</f>
        <v/>
      </c>
      <c r="M16" s="14">
        <f>SUMIFS(Hypotheses!$C$114:$C$118,Hypotheses!$B$114:$B$118,"&lt;="&amp;M4,Hypotheses!$B$114:$B$118,"&gt;0")</f>
        <v/>
      </c>
      <c r="N16" s="14">
        <f>SUMIFS(Hypotheses!$C$114:$C$118,Hypotheses!$B$114:$B$118,"&lt;="&amp;N4,Hypotheses!$B$114:$B$118,"&gt;0")</f>
        <v/>
      </c>
      <c r="O16" s="14">
        <f>SUMIFS(Hypotheses!$C$114:$C$118,Hypotheses!$B$114:$B$118,"&lt;="&amp;O4,Hypotheses!$B$114:$B$118,"&gt;0")</f>
        <v/>
      </c>
      <c r="P16" s="14">
        <f>SUMIFS(Hypotheses!$C$114:$C$118,Hypotheses!$B$114:$B$118,"&lt;="&amp;P4,Hypotheses!$B$114:$B$118,"&gt;0")</f>
        <v/>
      </c>
      <c r="Q16" s="14">
        <f>SUMIFS(Hypotheses!$C$114:$C$118,Hypotheses!$B$114:$B$118,"&lt;="&amp;Q4,Hypotheses!$B$114:$B$118,"&gt;0")</f>
        <v/>
      </c>
      <c r="R16" s="14">
        <f>SUMIFS(Hypotheses!$C$114:$C$118,Hypotheses!$B$114:$B$118,"&lt;="&amp;R4,Hypotheses!$B$114:$B$118,"&gt;0")</f>
        <v/>
      </c>
      <c r="S16" s="14">
        <f>SUMIFS(Hypotheses!$C$114:$C$118,Hypotheses!$B$114:$B$118,"&lt;="&amp;S4,Hypotheses!$B$114:$B$118,"&gt;0")</f>
        <v/>
      </c>
      <c r="T16" s="14">
        <f>SUMIFS(Hypotheses!$C$114:$C$118,Hypotheses!$B$114:$B$118,"&lt;="&amp;T4,Hypotheses!$B$114:$B$118,"&gt;0")</f>
        <v/>
      </c>
      <c r="U16" s="14">
        <f>SUMIFS(Hypotheses!$C$114:$C$118,Hypotheses!$B$114:$B$118,"&lt;="&amp;U4,Hypotheses!$B$114:$B$118,"&gt;0")</f>
        <v/>
      </c>
      <c r="V16" s="14">
        <f>SUMIFS(Hypotheses!$C$114:$C$118,Hypotheses!$B$114:$B$118,"&lt;="&amp;V4,Hypotheses!$B$114:$B$118,"&gt;0")</f>
        <v/>
      </c>
      <c r="W16" s="14">
        <f>SUMIFS(Hypotheses!$C$114:$C$118,Hypotheses!$B$114:$B$118,"&lt;="&amp;W4,Hypotheses!$B$114:$B$118,"&gt;0")</f>
        <v/>
      </c>
      <c r="X16" s="14">
        <f>SUMIFS(Hypotheses!$C$114:$C$118,Hypotheses!$B$114:$B$118,"&lt;="&amp;X4,Hypotheses!$B$114:$B$118,"&gt;0")</f>
        <v/>
      </c>
      <c r="Y16" s="14">
        <f>SUMIFS(Hypotheses!$C$114:$C$118,Hypotheses!$B$114:$B$118,"&lt;="&amp;Y4,Hypotheses!$B$114:$B$118,"&gt;0")</f>
        <v/>
      </c>
      <c r="Z16" s="14">
        <f>SUMIFS(Hypotheses!$C$114:$C$118,Hypotheses!$B$114:$B$118,"&lt;="&amp;Z4,Hypotheses!$B$114:$B$118,"&gt;0")</f>
        <v/>
      </c>
      <c r="AA16" s="14">
        <f>SUMIFS(Hypotheses!$C$114:$C$118,Hypotheses!$B$114:$B$118,"&lt;="&amp;AA4,Hypotheses!$B$114:$B$118,"&gt;0")</f>
        <v/>
      </c>
      <c r="AB16" s="14">
        <f>SUMIFS(Hypotheses!$C$114:$C$118,Hypotheses!$B$114:$B$118,"&lt;="&amp;AB4,Hypotheses!$B$114:$B$118,"&gt;0")</f>
        <v/>
      </c>
      <c r="AC16" s="14">
        <f>SUMIFS(Hypotheses!$C$114:$C$118,Hypotheses!$B$114:$B$118,"&lt;="&amp;AC4,Hypotheses!$B$114:$B$118,"&gt;0")</f>
        <v/>
      </c>
      <c r="AD16" s="14">
        <f>SUMIFS(Hypotheses!$C$114:$C$118,Hypotheses!$B$114:$B$118,"&lt;="&amp;AD4,Hypotheses!$B$114:$B$118,"&gt;0")</f>
        <v/>
      </c>
      <c r="AE16" s="14">
        <f>SUMIFS(Hypotheses!$C$114:$C$118,Hypotheses!$B$114:$B$118,"&lt;="&amp;AE4,Hypotheses!$B$114:$B$118,"&gt;0")</f>
        <v/>
      </c>
      <c r="AF16" s="14">
        <f>SUMIFS(Hypotheses!$C$114:$C$118,Hypotheses!$B$114:$B$118,"&lt;="&amp;AF4,Hypotheses!$B$114:$B$118,"&gt;0")</f>
        <v/>
      </c>
      <c r="AG16" s="14">
        <f>SUMIFS(Hypotheses!$C$114:$C$118,Hypotheses!$B$114:$B$118,"&lt;="&amp;AG4,Hypotheses!$B$114:$B$118,"&gt;0")</f>
        <v/>
      </c>
      <c r="AH16" s="14">
        <f>SUMIFS(Hypotheses!$C$114:$C$118,Hypotheses!$B$114:$B$118,"&lt;="&amp;AH4,Hypotheses!$B$114:$B$118,"&gt;0")</f>
        <v/>
      </c>
      <c r="AI16" s="14">
        <f>SUMIFS(Hypotheses!$C$114:$C$118,Hypotheses!$B$114:$B$118,"&lt;="&amp;AI4,Hypotheses!$B$114:$B$118,"&gt;0")</f>
        <v/>
      </c>
      <c r="AJ16" s="14">
        <f>SUMIFS(Hypotheses!$C$114:$C$118,Hypotheses!$B$114:$B$118,"&lt;="&amp;AJ4,Hypotheses!$B$114:$B$118,"&gt;0")</f>
        <v/>
      </c>
      <c r="AK16" s="14">
        <f>SUMIFS(Hypotheses!$C$114:$C$118,Hypotheses!$B$114:$B$118,"&lt;="&amp;AK4,Hypotheses!$B$114:$B$118,"&gt;0")</f>
        <v/>
      </c>
      <c r="AL16" s="14">
        <f>SUMIFS(Hypotheses!$C$114:$C$118,Hypotheses!$B$114:$B$118,"&lt;="&amp;AL4,Hypotheses!$B$114:$B$118,"&gt;0")</f>
        <v/>
      </c>
      <c r="AM16" s="14">
        <f>SUMIFS(Hypotheses!$C$114:$C$118,Hypotheses!$B$114:$B$118,"&lt;="&amp;AM4,Hypotheses!$B$114:$B$118,"&gt;0")</f>
        <v/>
      </c>
      <c r="AN16" s="14">
        <f>SUMIFS(Hypotheses!$C$114:$C$118,Hypotheses!$B$114:$B$118,"&lt;="&amp;AN4,Hypotheses!$B$114:$B$118,"&gt;0")</f>
        <v/>
      </c>
      <c r="AO16" s="14">
        <f>SUMIFS(Hypotheses!$C$114:$C$118,Hypotheses!$B$114:$B$118,"&lt;="&amp;AO4,Hypotheses!$B$114:$B$118,"&gt;0")</f>
        <v/>
      </c>
      <c r="AP16" s="14">
        <f>SUMIFS(Hypotheses!$C$114:$C$118,Hypotheses!$B$114:$B$118,"&lt;="&amp;AP4,Hypotheses!$B$114:$B$118,"&gt;0")</f>
        <v/>
      </c>
      <c r="AQ16" s="14">
        <f>SUMIFS(Hypotheses!$C$114:$C$118,Hypotheses!$B$114:$B$118,"&lt;="&amp;AQ4,Hypotheses!$B$114:$B$118,"&gt;0")</f>
        <v/>
      </c>
      <c r="AR16" s="14">
        <f>SUMIFS(Hypotheses!$C$114:$C$118,Hypotheses!$B$114:$B$118,"&lt;="&amp;AR4,Hypotheses!$B$114:$B$118,"&gt;0")</f>
        <v/>
      </c>
      <c r="AS16" s="14">
        <f>SUMIFS(Hypotheses!$C$114:$C$118,Hypotheses!$B$114:$B$118,"&lt;="&amp;AS4,Hypotheses!$B$114:$B$118,"&gt;0")</f>
        <v/>
      </c>
      <c r="AT16" s="14">
        <f>SUMIFS(Hypotheses!$C$114:$C$118,Hypotheses!$B$114:$B$118,"&lt;="&amp;AT4,Hypotheses!$B$114:$B$118,"&gt;0")</f>
        <v/>
      </c>
      <c r="AU16" s="14">
        <f>SUMIFS(Hypotheses!$C$114:$C$118,Hypotheses!$B$114:$B$118,"&lt;="&amp;AU4,Hypotheses!$B$114:$B$118,"&gt;0")</f>
        <v/>
      </c>
      <c r="AV16" s="14">
        <f>SUMIFS(Hypotheses!$C$114:$C$118,Hypotheses!$B$114:$B$118,"&lt;="&amp;AV4,Hypotheses!$B$114:$B$118,"&gt;0")</f>
        <v/>
      </c>
      <c r="AW16" s="14">
        <f>SUMIFS(Hypotheses!$C$114:$C$118,Hypotheses!$B$114:$B$118,"&lt;="&amp;AW4,Hypotheses!$B$114:$B$118,"&gt;0")</f>
        <v/>
      </c>
      <c r="AX16" s="14">
        <f>SUMIFS(Hypotheses!$C$114:$C$118,Hypotheses!$B$114:$B$118,"&lt;="&amp;AX4,Hypotheses!$B$114:$B$118,"&gt;0")</f>
        <v/>
      </c>
      <c r="AY16" s="14">
        <f>SUMIFS(Hypotheses!$C$114:$C$118,Hypotheses!$B$114:$B$118,"&lt;="&amp;AY4,Hypotheses!$B$114:$B$118,"&gt;0")</f>
        <v/>
      </c>
      <c r="AZ16" s="14">
        <f>SUMIFS(Hypotheses!$C$114:$C$118,Hypotheses!$B$114:$B$118,"&lt;="&amp;AZ4,Hypotheses!$B$114:$B$118,"&gt;0")</f>
        <v/>
      </c>
      <c r="BA16" s="14">
        <f>SUMIFS(Hypotheses!$C$114:$C$118,Hypotheses!$B$114:$B$118,"&lt;="&amp;BA4,Hypotheses!$B$114:$B$118,"&gt;0")</f>
        <v/>
      </c>
      <c r="BB16" s="14">
        <f>SUMIFS(Hypotheses!$C$114:$C$118,Hypotheses!$B$114:$B$118,"&lt;="&amp;BB4,Hypotheses!$B$114:$B$118,"&gt;0")</f>
        <v/>
      </c>
      <c r="BC16" s="14">
        <f>SUMIFS(Hypotheses!$C$114:$C$118,Hypotheses!$B$114:$B$118,"&lt;="&amp;BC4,Hypotheses!$B$114:$B$118,"&gt;0")</f>
        <v/>
      </c>
      <c r="BD16" s="14">
        <f>SUMIFS(Hypotheses!$C$114:$C$118,Hypotheses!$B$114:$B$118,"&lt;="&amp;BD4,Hypotheses!$B$114:$B$118,"&gt;0")</f>
        <v/>
      </c>
      <c r="BE16" s="14">
        <f>SUMIFS(Hypotheses!$C$114:$C$118,Hypotheses!$B$114:$B$118,"&lt;="&amp;BE4,Hypotheses!$B$114:$B$118,"&gt;0")</f>
        <v/>
      </c>
      <c r="BF16" s="14">
        <f>SUMIFS(Hypotheses!$C$114:$C$118,Hypotheses!$B$114:$B$118,"&lt;="&amp;BF4,Hypotheses!$B$114:$B$118,"&gt;0")</f>
        <v/>
      </c>
      <c r="BG16" s="14">
        <f>SUMIFS(Hypotheses!$C$114:$C$118,Hypotheses!$B$114:$B$118,"&lt;="&amp;BG4,Hypotheses!$B$114:$B$118,"&gt;0")</f>
        <v/>
      </c>
      <c r="BH16" s="14">
        <f>SUMIFS(Hypotheses!$C$114:$C$118,Hypotheses!$B$114:$B$118,"&lt;="&amp;BH4,Hypotheses!$B$114:$B$118,"&gt;0")</f>
        <v/>
      </c>
      <c r="BI16" s="14">
        <f>SUMIFS(Hypotheses!$C$114:$C$118,Hypotheses!$B$114:$B$118,"&lt;="&amp;BI4,Hypotheses!$B$114:$B$118,"&gt;0")</f>
        <v/>
      </c>
      <c r="BJ16" s="14">
        <f>SUMIFS(Hypotheses!$C$114:$C$118,Hypotheses!$B$114:$B$118,"&lt;="&amp;BJ4,Hypotheses!$B$114:$B$118,"&gt;0")</f>
        <v/>
      </c>
    </row>
    <row r="17">
      <c r="A17" s="8" t="inlineStr">
        <is>
          <t>Total sièges</t>
        </is>
      </c>
      <c r="C17" s="41">
        <f>SUM(C13:C16)</f>
        <v/>
      </c>
      <c r="D17" s="41">
        <f>SUM(D13:D16)</f>
        <v/>
      </c>
      <c r="E17" s="41">
        <f>SUM(E13:E16)</f>
        <v/>
      </c>
      <c r="F17" s="41">
        <f>SUM(F13:F16)</f>
        <v/>
      </c>
      <c r="G17" s="41">
        <f>SUM(G13:G16)</f>
        <v/>
      </c>
      <c r="H17" s="41">
        <f>SUM(H13:H16)</f>
        <v/>
      </c>
      <c r="I17" s="41">
        <f>SUM(I13:I16)</f>
        <v/>
      </c>
      <c r="J17" s="41">
        <f>SUM(J13:J16)</f>
        <v/>
      </c>
      <c r="K17" s="41">
        <f>SUM(K13:K16)</f>
        <v/>
      </c>
      <c r="L17" s="41">
        <f>SUM(L13:L16)</f>
        <v/>
      </c>
      <c r="M17" s="41">
        <f>SUM(M13:M16)</f>
        <v/>
      </c>
      <c r="N17" s="41">
        <f>SUM(N13:N16)</f>
        <v/>
      </c>
      <c r="O17" s="41">
        <f>SUM(O13:O16)</f>
        <v/>
      </c>
      <c r="P17" s="41">
        <f>SUM(P13:P16)</f>
        <v/>
      </c>
      <c r="Q17" s="41">
        <f>SUM(Q13:Q16)</f>
        <v/>
      </c>
      <c r="R17" s="41">
        <f>SUM(R13:R16)</f>
        <v/>
      </c>
      <c r="S17" s="41">
        <f>SUM(S13:S16)</f>
        <v/>
      </c>
      <c r="T17" s="41">
        <f>SUM(T13:T16)</f>
        <v/>
      </c>
      <c r="U17" s="41">
        <f>SUM(U13:U16)</f>
        <v/>
      </c>
      <c r="V17" s="41">
        <f>SUM(V13:V16)</f>
        <v/>
      </c>
      <c r="W17" s="41">
        <f>SUM(W13:W16)</f>
        <v/>
      </c>
      <c r="X17" s="41">
        <f>SUM(X13:X16)</f>
        <v/>
      </c>
      <c r="Y17" s="41">
        <f>SUM(Y13:Y16)</f>
        <v/>
      </c>
      <c r="Z17" s="41">
        <f>SUM(Z13:Z16)</f>
        <v/>
      </c>
      <c r="AA17" s="41">
        <f>SUM(AA13:AA16)</f>
        <v/>
      </c>
      <c r="AB17" s="41">
        <f>SUM(AB13:AB16)</f>
        <v/>
      </c>
      <c r="AC17" s="41">
        <f>SUM(AC13:AC16)</f>
        <v/>
      </c>
      <c r="AD17" s="41">
        <f>SUM(AD13:AD16)</f>
        <v/>
      </c>
      <c r="AE17" s="41">
        <f>SUM(AE13:AE16)</f>
        <v/>
      </c>
      <c r="AF17" s="41">
        <f>SUM(AF13:AF16)</f>
        <v/>
      </c>
      <c r="AG17" s="41">
        <f>SUM(AG13:AG16)</f>
        <v/>
      </c>
      <c r="AH17" s="41">
        <f>SUM(AH13:AH16)</f>
        <v/>
      </c>
      <c r="AI17" s="41">
        <f>SUM(AI13:AI16)</f>
        <v/>
      </c>
      <c r="AJ17" s="41">
        <f>SUM(AJ13:AJ16)</f>
        <v/>
      </c>
      <c r="AK17" s="41">
        <f>SUM(AK13:AK16)</f>
        <v/>
      </c>
      <c r="AL17" s="41">
        <f>SUM(AL13:AL16)</f>
        <v/>
      </c>
      <c r="AM17" s="41">
        <f>SUM(AM13:AM16)</f>
        <v/>
      </c>
      <c r="AN17" s="41">
        <f>SUM(AN13:AN16)</f>
        <v/>
      </c>
      <c r="AO17" s="41">
        <f>SUM(AO13:AO16)</f>
        <v/>
      </c>
      <c r="AP17" s="41">
        <f>SUM(AP13:AP16)</f>
        <v/>
      </c>
      <c r="AQ17" s="41">
        <f>SUM(AQ13:AQ16)</f>
        <v/>
      </c>
      <c r="AR17" s="41">
        <f>SUM(AR13:AR16)</f>
        <v/>
      </c>
      <c r="AS17" s="41">
        <f>SUM(AS13:AS16)</f>
        <v/>
      </c>
      <c r="AT17" s="41">
        <f>SUM(AT13:AT16)</f>
        <v/>
      </c>
      <c r="AU17" s="41">
        <f>SUM(AU13:AU16)</f>
        <v/>
      </c>
      <c r="AV17" s="41">
        <f>SUM(AV13:AV16)</f>
        <v/>
      </c>
      <c r="AW17" s="41">
        <f>SUM(AW13:AW16)</f>
        <v/>
      </c>
      <c r="AX17" s="41">
        <f>SUM(AX13:AX16)</f>
        <v/>
      </c>
      <c r="AY17" s="41">
        <f>SUM(AY13:AY16)</f>
        <v/>
      </c>
      <c r="AZ17" s="41">
        <f>SUM(AZ13:AZ16)</f>
        <v/>
      </c>
      <c r="BA17" s="41">
        <f>SUM(BA13:BA16)</f>
        <v/>
      </c>
      <c r="BB17" s="41">
        <f>SUM(BB13:BB16)</f>
        <v/>
      </c>
      <c r="BC17" s="41">
        <f>SUM(BC13:BC16)</f>
        <v/>
      </c>
      <c r="BD17" s="41">
        <f>SUM(BD13:BD16)</f>
        <v/>
      </c>
      <c r="BE17" s="41">
        <f>SUM(BE13:BE16)</f>
        <v/>
      </c>
      <c r="BF17" s="41">
        <f>SUM(BF13:BF16)</f>
        <v/>
      </c>
      <c r="BG17" s="41">
        <f>SUM(BG13:BG16)</f>
        <v/>
      </c>
      <c r="BH17" s="41">
        <f>SUM(BH13:BH16)</f>
        <v/>
      </c>
      <c r="BI17" s="41">
        <f>SUM(BI13:BI16)</f>
        <v/>
      </c>
      <c r="BJ17" s="41">
        <f>SUM(BJ13:BJ16)</f>
        <v/>
      </c>
    </row>
    <row r="18">
      <c r="A18" s="19" t="inlineStr">
        <is>
          <t>Support client (CS)</t>
        </is>
      </c>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c r="AA18" s="20" t="n"/>
      <c r="AB18" s="20" t="n"/>
      <c r="AC18" s="20" t="n"/>
      <c r="AD18" s="20" t="n"/>
      <c r="AE18" s="20" t="n"/>
      <c r="AF18" s="20" t="n"/>
      <c r="AG18" s="20" t="n"/>
      <c r="AH18" s="20" t="n"/>
      <c r="AI18" s="20" t="n"/>
      <c r="AJ18" s="20" t="n"/>
      <c r="AK18" s="20" t="n"/>
      <c r="AL18" s="20" t="n"/>
      <c r="AM18" s="20" t="n"/>
      <c r="AN18" s="20" t="n"/>
      <c r="AO18" s="20" t="n"/>
      <c r="AP18" s="20" t="n"/>
      <c r="AQ18" s="20" t="n"/>
      <c r="AR18" s="20" t="n"/>
      <c r="AS18" s="20" t="n"/>
      <c r="AT18" s="20" t="n"/>
      <c r="AU18" s="20" t="n"/>
      <c r="AV18" s="20" t="n"/>
      <c r="AW18" s="20" t="n"/>
      <c r="AX18" s="20" t="n"/>
      <c r="AY18" s="20" t="n"/>
      <c r="AZ18" s="20" t="n"/>
      <c r="BA18" s="20" t="n"/>
      <c r="BB18" s="20" t="n"/>
      <c r="BC18" s="20" t="n"/>
      <c r="BD18" s="20" t="n"/>
      <c r="BE18" s="20" t="n"/>
      <c r="BF18" s="20" t="n"/>
      <c r="BG18" s="20" t="n"/>
      <c r="BH18" s="20" t="n"/>
      <c r="BI18" s="20" t="n"/>
      <c r="BJ18" s="20" t="n"/>
    </row>
    <row r="19">
      <c r="A19" s="28" t="inlineStr">
        <is>
          <t>Temps de support nécessaire (libre-service)</t>
        </is>
      </c>
      <c r="C19" s="45">
        <f>C10*Hypotheses!$B$76*Hypotheses!$B$91+C13*Hypotheses!$B$90+C8*Hypotheses!$B$76*Hypotheses!$B$89+C10*Hypotheses!$B$77*Hypotheses!$C$91+C14*Hypotheses!$C$90+C8*Hypotheses!$B$77*Hypotheses!$C$89+C10*Hypotheses!$B$78*Hypotheses!$D$91+C15*Hypotheses!$D$90+C8*Hypotheses!$B$78*Hypotheses!$D$89</f>
        <v/>
      </c>
      <c r="D19" s="45">
        <f>D10*Hypotheses!$B$76*Hypotheses!$B$91+D13*Hypotheses!$B$90+D8*Hypotheses!$B$76*Hypotheses!$B$89+D10*Hypotheses!$B$77*Hypotheses!$C$91+D14*Hypotheses!$C$90+D8*Hypotheses!$B$77*Hypotheses!$C$89+D10*Hypotheses!$B$78*Hypotheses!$D$91+D15*Hypotheses!$D$90+D8*Hypotheses!$B$78*Hypotheses!$D$89</f>
        <v/>
      </c>
      <c r="E19" s="45">
        <f>E10*Hypotheses!$B$76*Hypotheses!$B$91+E13*Hypotheses!$B$90+E8*Hypotheses!$B$76*Hypotheses!$B$89+E10*Hypotheses!$B$77*Hypotheses!$C$91+E14*Hypotheses!$C$90+E8*Hypotheses!$B$77*Hypotheses!$C$89+E10*Hypotheses!$B$78*Hypotheses!$D$91+E15*Hypotheses!$D$90+E8*Hypotheses!$B$78*Hypotheses!$D$89</f>
        <v/>
      </c>
      <c r="F19" s="45">
        <f>F10*Hypotheses!$B$76*Hypotheses!$B$91+F13*Hypotheses!$B$90+F8*Hypotheses!$B$76*Hypotheses!$B$89+F10*Hypotheses!$B$77*Hypotheses!$C$91+F14*Hypotheses!$C$90+F8*Hypotheses!$B$77*Hypotheses!$C$89+F10*Hypotheses!$B$78*Hypotheses!$D$91+F15*Hypotheses!$D$90+F8*Hypotheses!$B$78*Hypotheses!$D$89</f>
        <v/>
      </c>
      <c r="G19" s="45">
        <f>G10*Hypotheses!$B$76*Hypotheses!$B$91+G13*Hypotheses!$B$90+G8*Hypotheses!$B$76*Hypotheses!$B$89+G10*Hypotheses!$B$77*Hypotheses!$C$91+G14*Hypotheses!$C$90+G8*Hypotheses!$B$77*Hypotheses!$C$89+G10*Hypotheses!$B$78*Hypotheses!$D$91+G15*Hypotheses!$D$90+G8*Hypotheses!$B$78*Hypotheses!$D$89</f>
        <v/>
      </c>
      <c r="H19" s="45">
        <f>H10*Hypotheses!$B$76*Hypotheses!$B$91+H13*Hypotheses!$B$90+H8*Hypotheses!$B$76*Hypotheses!$B$89+H10*Hypotheses!$B$77*Hypotheses!$C$91+H14*Hypotheses!$C$90+H8*Hypotheses!$B$77*Hypotheses!$C$89+H10*Hypotheses!$B$78*Hypotheses!$D$91+H15*Hypotheses!$D$90+H8*Hypotheses!$B$78*Hypotheses!$D$89</f>
        <v/>
      </c>
      <c r="I19" s="45">
        <f>I10*Hypotheses!$B$76*Hypotheses!$B$91+I13*Hypotheses!$B$90+I8*Hypotheses!$B$76*Hypotheses!$B$89+I10*Hypotheses!$B$77*Hypotheses!$C$91+I14*Hypotheses!$C$90+I8*Hypotheses!$B$77*Hypotheses!$C$89+I10*Hypotheses!$B$78*Hypotheses!$D$91+I15*Hypotheses!$D$90+I8*Hypotheses!$B$78*Hypotheses!$D$89</f>
        <v/>
      </c>
      <c r="J19" s="45">
        <f>J10*Hypotheses!$B$76*Hypotheses!$B$91+J13*Hypotheses!$B$90+J8*Hypotheses!$B$76*Hypotheses!$B$89+J10*Hypotheses!$B$77*Hypotheses!$C$91+J14*Hypotheses!$C$90+J8*Hypotheses!$B$77*Hypotheses!$C$89+J10*Hypotheses!$B$78*Hypotheses!$D$91+J15*Hypotheses!$D$90+J8*Hypotheses!$B$78*Hypotheses!$D$89</f>
        <v/>
      </c>
      <c r="K19" s="45">
        <f>K10*Hypotheses!$B$76*Hypotheses!$B$91+K13*Hypotheses!$B$90+K8*Hypotheses!$B$76*Hypotheses!$B$89+K10*Hypotheses!$B$77*Hypotheses!$C$91+K14*Hypotheses!$C$90+K8*Hypotheses!$B$77*Hypotheses!$C$89+K10*Hypotheses!$B$78*Hypotheses!$D$91+K15*Hypotheses!$D$90+K8*Hypotheses!$B$78*Hypotheses!$D$89</f>
        <v/>
      </c>
      <c r="L19" s="45">
        <f>L10*Hypotheses!$B$76*Hypotheses!$B$91+L13*Hypotheses!$B$90+L8*Hypotheses!$B$76*Hypotheses!$B$89+L10*Hypotheses!$B$77*Hypotheses!$C$91+L14*Hypotheses!$C$90+L8*Hypotheses!$B$77*Hypotheses!$C$89+L10*Hypotheses!$B$78*Hypotheses!$D$91+L15*Hypotheses!$D$90+L8*Hypotheses!$B$78*Hypotheses!$D$89</f>
        <v/>
      </c>
      <c r="M19" s="45">
        <f>M10*Hypotheses!$B$76*Hypotheses!$B$91+M13*Hypotheses!$B$90+M8*Hypotheses!$B$76*Hypotheses!$B$89+M10*Hypotheses!$B$77*Hypotheses!$C$91+M14*Hypotheses!$C$90+M8*Hypotheses!$B$77*Hypotheses!$C$89+M10*Hypotheses!$B$78*Hypotheses!$D$91+M15*Hypotheses!$D$90+M8*Hypotheses!$B$78*Hypotheses!$D$89</f>
        <v/>
      </c>
      <c r="N19" s="45">
        <f>N10*Hypotheses!$B$76*Hypotheses!$B$91+N13*Hypotheses!$B$90+N8*Hypotheses!$B$76*Hypotheses!$B$89+N10*Hypotheses!$B$77*Hypotheses!$C$91+N14*Hypotheses!$C$90+N8*Hypotheses!$B$77*Hypotheses!$C$89+N10*Hypotheses!$B$78*Hypotheses!$D$91+N15*Hypotheses!$D$90+N8*Hypotheses!$B$78*Hypotheses!$D$89</f>
        <v/>
      </c>
      <c r="O19" s="45">
        <f>O10*Hypotheses!$B$76*Hypotheses!$B$91+O13*Hypotheses!$B$90+O8*Hypotheses!$B$76*Hypotheses!$B$89+O10*Hypotheses!$B$77*Hypotheses!$C$91+O14*Hypotheses!$C$90+O8*Hypotheses!$B$77*Hypotheses!$C$89+O10*Hypotheses!$B$78*Hypotheses!$D$91+O15*Hypotheses!$D$90+O8*Hypotheses!$B$78*Hypotheses!$D$89</f>
        <v/>
      </c>
      <c r="P19" s="45">
        <f>P10*Hypotheses!$B$76*Hypotheses!$B$91+P13*Hypotheses!$B$90+P8*Hypotheses!$B$76*Hypotheses!$B$89+P10*Hypotheses!$B$77*Hypotheses!$C$91+P14*Hypotheses!$C$90+P8*Hypotheses!$B$77*Hypotheses!$C$89+P10*Hypotheses!$B$78*Hypotheses!$D$91+P15*Hypotheses!$D$90+P8*Hypotheses!$B$78*Hypotheses!$D$89</f>
        <v/>
      </c>
      <c r="Q19" s="45">
        <f>Q10*Hypotheses!$B$76*Hypotheses!$B$91+Q13*Hypotheses!$B$90+Q8*Hypotheses!$B$76*Hypotheses!$B$89+Q10*Hypotheses!$B$77*Hypotheses!$C$91+Q14*Hypotheses!$C$90+Q8*Hypotheses!$B$77*Hypotheses!$C$89+Q10*Hypotheses!$B$78*Hypotheses!$D$91+Q15*Hypotheses!$D$90+Q8*Hypotheses!$B$78*Hypotheses!$D$89</f>
        <v/>
      </c>
      <c r="R19" s="45">
        <f>R10*Hypotheses!$B$76*Hypotheses!$B$91+R13*Hypotheses!$B$90+R8*Hypotheses!$B$76*Hypotheses!$B$89+R10*Hypotheses!$B$77*Hypotheses!$C$91+R14*Hypotheses!$C$90+R8*Hypotheses!$B$77*Hypotheses!$C$89+R10*Hypotheses!$B$78*Hypotheses!$D$91+R15*Hypotheses!$D$90+R8*Hypotheses!$B$78*Hypotheses!$D$89</f>
        <v/>
      </c>
      <c r="S19" s="45">
        <f>S10*Hypotheses!$B$76*Hypotheses!$B$91+S13*Hypotheses!$B$90+S8*Hypotheses!$B$76*Hypotheses!$B$89+S10*Hypotheses!$B$77*Hypotheses!$C$91+S14*Hypotheses!$C$90+S8*Hypotheses!$B$77*Hypotheses!$C$89+S10*Hypotheses!$B$78*Hypotheses!$D$91+S15*Hypotheses!$D$90+S8*Hypotheses!$B$78*Hypotheses!$D$89</f>
        <v/>
      </c>
      <c r="T19" s="45">
        <f>T10*Hypotheses!$B$76*Hypotheses!$B$91+T13*Hypotheses!$B$90+T8*Hypotheses!$B$76*Hypotheses!$B$89+T10*Hypotheses!$B$77*Hypotheses!$C$91+T14*Hypotheses!$C$90+T8*Hypotheses!$B$77*Hypotheses!$C$89+T10*Hypotheses!$B$78*Hypotheses!$D$91+T15*Hypotheses!$D$90+T8*Hypotheses!$B$78*Hypotheses!$D$89</f>
        <v/>
      </c>
      <c r="U19" s="45">
        <f>U10*Hypotheses!$B$76*Hypotheses!$B$91+U13*Hypotheses!$B$90+U8*Hypotheses!$B$76*Hypotheses!$B$89+U10*Hypotheses!$B$77*Hypotheses!$C$91+U14*Hypotheses!$C$90+U8*Hypotheses!$B$77*Hypotheses!$C$89+U10*Hypotheses!$B$78*Hypotheses!$D$91+U15*Hypotheses!$D$90+U8*Hypotheses!$B$78*Hypotheses!$D$89</f>
        <v/>
      </c>
      <c r="V19" s="45">
        <f>V10*Hypotheses!$B$76*Hypotheses!$B$91+V13*Hypotheses!$B$90+V8*Hypotheses!$B$76*Hypotheses!$B$89+V10*Hypotheses!$B$77*Hypotheses!$C$91+V14*Hypotheses!$C$90+V8*Hypotheses!$B$77*Hypotheses!$C$89+V10*Hypotheses!$B$78*Hypotheses!$D$91+V15*Hypotheses!$D$90+V8*Hypotheses!$B$78*Hypotheses!$D$89</f>
        <v/>
      </c>
      <c r="W19" s="45">
        <f>W10*Hypotheses!$B$76*Hypotheses!$B$91+W13*Hypotheses!$B$90+W8*Hypotheses!$B$76*Hypotheses!$B$89+W10*Hypotheses!$B$77*Hypotheses!$C$91+W14*Hypotheses!$C$90+W8*Hypotheses!$B$77*Hypotheses!$C$89+W10*Hypotheses!$B$78*Hypotheses!$D$91+W15*Hypotheses!$D$90+W8*Hypotheses!$B$78*Hypotheses!$D$89</f>
        <v/>
      </c>
      <c r="X19" s="45">
        <f>X10*Hypotheses!$B$76*Hypotheses!$B$91+X13*Hypotheses!$B$90+X8*Hypotheses!$B$76*Hypotheses!$B$89+X10*Hypotheses!$B$77*Hypotheses!$C$91+X14*Hypotheses!$C$90+X8*Hypotheses!$B$77*Hypotheses!$C$89+X10*Hypotheses!$B$78*Hypotheses!$D$91+X15*Hypotheses!$D$90+X8*Hypotheses!$B$78*Hypotheses!$D$89</f>
        <v/>
      </c>
      <c r="Y19" s="45">
        <f>Y10*Hypotheses!$B$76*Hypotheses!$B$91+Y13*Hypotheses!$B$90+Y8*Hypotheses!$B$76*Hypotheses!$B$89+Y10*Hypotheses!$B$77*Hypotheses!$C$91+Y14*Hypotheses!$C$90+Y8*Hypotheses!$B$77*Hypotheses!$C$89+Y10*Hypotheses!$B$78*Hypotheses!$D$91+Y15*Hypotheses!$D$90+Y8*Hypotheses!$B$78*Hypotheses!$D$89</f>
        <v/>
      </c>
      <c r="Z19" s="45">
        <f>Z10*Hypotheses!$B$76*Hypotheses!$B$91+Z13*Hypotheses!$B$90+Z8*Hypotheses!$B$76*Hypotheses!$B$89+Z10*Hypotheses!$B$77*Hypotheses!$C$91+Z14*Hypotheses!$C$90+Z8*Hypotheses!$B$77*Hypotheses!$C$89+Z10*Hypotheses!$B$78*Hypotheses!$D$91+Z15*Hypotheses!$D$90+Z8*Hypotheses!$B$78*Hypotheses!$D$89</f>
        <v/>
      </c>
      <c r="AA19" s="45">
        <f>AA10*Hypotheses!$B$76*Hypotheses!$B$91+AA13*Hypotheses!$B$90+AA8*Hypotheses!$B$76*Hypotheses!$B$89+AA10*Hypotheses!$B$77*Hypotheses!$C$91+AA14*Hypotheses!$C$90+AA8*Hypotheses!$B$77*Hypotheses!$C$89+AA10*Hypotheses!$B$78*Hypotheses!$D$91+AA15*Hypotheses!$D$90+AA8*Hypotheses!$B$78*Hypotheses!$D$89</f>
        <v/>
      </c>
      <c r="AB19" s="45">
        <f>AB10*Hypotheses!$B$76*Hypotheses!$B$91+AB13*Hypotheses!$B$90+AB8*Hypotheses!$B$76*Hypotheses!$B$89+AB10*Hypotheses!$B$77*Hypotheses!$C$91+AB14*Hypotheses!$C$90+AB8*Hypotheses!$B$77*Hypotheses!$C$89+AB10*Hypotheses!$B$78*Hypotheses!$D$91+AB15*Hypotheses!$D$90+AB8*Hypotheses!$B$78*Hypotheses!$D$89</f>
        <v/>
      </c>
      <c r="AC19" s="45">
        <f>AC10*Hypotheses!$B$76*Hypotheses!$B$91+AC13*Hypotheses!$B$90+AC8*Hypotheses!$B$76*Hypotheses!$B$89+AC10*Hypotheses!$B$77*Hypotheses!$C$91+AC14*Hypotheses!$C$90+AC8*Hypotheses!$B$77*Hypotheses!$C$89+AC10*Hypotheses!$B$78*Hypotheses!$D$91+AC15*Hypotheses!$D$90+AC8*Hypotheses!$B$78*Hypotheses!$D$89</f>
        <v/>
      </c>
      <c r="AD19" s="45">
        <f>AD10*Hypotheses!$B$76*Hypotheses!$B$91+AD13*Hypotheses!$B$90+AD8*Hypotheses!$B$76*Hypotheses!$B$89+AD10*Hypotheses!$B$77*Hypotheses!$C$91+AD14*Hypotheses!$C$90+AD8*Hypotheses!$B$77*Hypotheses!$C$89+AD10*Hypotheses!$B$78*Hypotheses!$D$91+AD15*Hypotheses!$D$90+AD8*Hypotheses!$B$78*Hypotheses!$D$89</f>
        <v/>
      </c>
      <c r="AE19" s="45">
        <f>AE10*Hypotheses!$B$76*Hypotheses!$B$91+AE13*Hypotheses!$B$90+AE8*Hypotheses!$B$76*Hypotheses!$B$89+AE10*Hypotheses!$B$77*Hypotheses!$C$91+AE14*Hypotheses!$C$90+AE8*Hypotheses!$B$77*Hypotheses!$C$89+AE10*Hypotheses!$B$78*Hypotheses!$D$91+AE15*Hypotheses!$D$90+AE8*Hypotheses!$B$78*Hypotheses!$D$89</f>
        <v/>
      </c>
      <c r="AF19" s="45">
        <f>AF10*Hypotheses!$B$76*Hypotheses!$B$91+AF13*Hypotheses!$B$90+AF8*Hypotheses!$B$76*Hypotheses!$B$89+AF10*Hypotheses!$B$77*Hypotheses!$C$91+AF14*Hypotheses!$C$90+AF8*Hypotheses!$B$77*Hypotheses!$C$89+AF10*Hypotheses!$B$78*Hypotheses!$D$91+AF15*Hypotheses!$D$90+AF8*Hypotheses!$B$78*Hypotheses!$D$89</f>
        <v/>
      </c>
      <c r="AG19" s="45">
        <f>AG10*Hypotheses!$B$76*Hypotheses!$B$91+AG13*Hypotheses!$B$90+AG8*Hypotheses!$B$76*Hypotheses!$B$89+AG10*Hypotheses!$B$77*Hypotheses!$C$91+AG14*Hypotheses!$C$90+AG8*Hypotheses!$B$77*Hypotheses!$C$89+AG10*Hypotheses!$B$78*Hypotheses!$D$91+AG15*Hypotheses!$D$90+AG8*Hypotheses!$B$78*Hypotheses!$D$89</f>
        <v/>
      </c>
      <c r="AH19" s="45">
        <f>AH10*Hypotheses!$B$76*Hypotheses!$B$91+AH13*Hypotheses!$B$90+AH8*Hypotheses!$B$76*Hypotheses!$B$89+AH10*Hypotheses!$B$77*Hypotheses!$C$91+AH14*Hypotheses!$C$90+AH8*Hypotheses!$B$77*Hypotheses!$C$89+AH10*Hypotheses!$B$78*Hypotheses!$D$91+AH15*Hypotheses!$D$90+AH8*Hypotheses!$B$78*Hypotheses!$D$89</f>
        <v/>
      </c>
      <c r="AI19" s="45">
        <f>AI10*Hypotheses!$B$76*Hypotheses!$B$91+AI13*Hypotheses!$B$90+AI8*Hypotheses!$B$76*Hypotheses!$B$89+AI10*Hypotheses!$B$77*Hypotheses!$C$91+AI14*Hypotheses!$C$90+AI8*Hypotheses!$B$77*Hypotheses!$C$89+AI10*Hypotheses!$B$78*Hypotheses!$D$91+AI15*Hypotheses!$D$90+AI8*Hypotheses!$B$78*Hypotheses!$D$89</f>
        <v/>
      </c>
      <c r="AJ19" s="45">
        <f>AJ10*Hypotheses!$B$76*Hypotheses!$B$91+AJ13*Hypotheses!$B$90+AJ8*Hypotheses!$B$76*Hypotheses!$B$89+AJ10*Hypotheses!$B$77*Hypotheses!$C$91+AJ14*Hypotheses!$C$90+AJ8*Hypotheses!$B$77*Hypotheses!$C$89+AJ10*Hypotheses!$B$78*Hypotheses!$D$91+AJ15*Hypotheses!$D$90+AJ8*Hypotheses!$B$78*Hypotheses!$D$89</f>
        <v/>
      </c>
      <c r="AK19" s="45">
        <f>AK10*Hypotheses!$B$76*Hypotheses!$B$91+AK13*Hypotheses!$B$90+AK8*Hypotheses!$B$76*Hypotheses!$B$89+AK10*Hypotheses!$B$77*Hypotheses!$C$91+AK14*Hypotheses!$C$90+AK8*Hypotheses!$B$77*Hypotheses!$C$89+AK10*Hypotheses!$B$78*Hypotheses!$D$91+AK15*Hypotheses!$D$90+AK8*Hypotheses!$B$78*Hypotheses!$D$89</f>
        <v/>
      </c>
      <c r="AL19" s="45">
        <f>AL10*Hypotheses!$B$76*Hypotheses!$B$91+AL13*Hypotheses!$B$90+AL8*Hypotheses!$B$76*Hypotheses!$B$89+AL10*Hypotheses!$B$77*Hypotheses!$C$91+AL14*Hypotheses!$C$90+AL8*Hypotheses!$B$77*Hypotheses!$C$89+AL10*Hypotheses!$B$78*Hypotheses!$D$91+AL15*Hypotheses!$D$90+AL8*Hypotheses!$B$78*Hypotheses!$D$89</f>
        <v/>
      </c>
      <c r="AM19" s="45">
        <f>AM10*Hypotheses!$B$76*Hypotheses!$B$91+AM13*Hypotheses!$B$90+AM8*Hypotheses!$B$76*Hypotheses!$B$89+AM10*Hypotheses!$B$77*Hypotheses!$C$91+AM14*Hypotheses!$C$90+AM8*Hypotheses!$B$77*Hypotheses!$C$89+AM10*Hypotheses!$B$78*Hypotheses!$D$91+AM15*Hypotheses!$D$90+AM8*Hypotheses!$B$78*Hypotheses!$D$89</f>
        <v/>
      </c>
      <c r="AN19" s="45">
        <f>AN10*Hypotheses!$B$76*Hypotheses!$B$91+AN13*Hypotheses!$B$90+AN8*Hypotheses!$B$76*Hypotheses!$B$89+AN10*Hypotheses!$B$77*Hypotheses!$C$91+AN14*Hypotheses!$C$90+AN8*Hypotheses!$B$77*Hypotheses!$C$89+AN10*Hypotheses!$B$78*Hypotheses!$D$91+AN15*Hypotheses!$D$90+AN8*Hypotheses!$B$78*Hypotheses!$D$89</f>
        <v/>
      </c>
      <c r="AO19" s="45">
        <f>AO10*Hypotheses!$B$76*Hypotheses!$B$91+AO13*Hypotheses!$B$90+AO8*Hypotheses!$B$76*Hypotheses!$B$89+AO10*Hypotheses!$B$77*Hypotheses!$C$91+AO14*Hypotheses!$C$90+AO8*Hypotheses!$B$77*Hypotheses!$C$89+AO10*Hypotheses!$B$78*Hypotheses!$D$91+AO15*Hypotheses!$D$90+AO8*Hypotheses!$B$78*Hypotheses!$D$89</f>
        <v/>
      </c>
      <c r="AP19" s="45">
        <f>AP10*Hypotheses!$B$76*Hypotheses!$B$91+AP13*Hypotheses!$B$90+AP8*Hypotheses!$B$76*Hypotheses!$B$89+AP10*Hypotheses!$B$77*Hypotheses!$C$91+AP14*Hypotheses!$C$90+AP8*Hypotheses!$B$77*Hypotheses!$C$89+AP10*Hypotheses!$B$78*Hypotheses!$D$91+AP15*Hypotheses!$D$90+AP8*Hypotheses!$B$78*Hypotheses!$D$89</f>
        <v/>
      </c>
      <c r="AQ19" s="45">
        <f>AQ10*Hypotheses!$B$76*Hypotheses!$B$91+AQ13*Hypotheses!$B$90+AQ8*Hypotheses!$B$76*Hypotheses!$B$89+AQ10*Hypotheses!$B$77*Hypotheses!$C$91+AQ14*Hypotheses!$C$90+AQ8*Hypotheses!$B$77*Hypotheses!$C$89+AQ10*Hypotheses!$B$78*Hypotheses!$D$91+AQ15*Hypotheses!$D$90+AQ8*Hypotheses!$B$78*Hypotheses!$D$89</f>
        <v/>
      </c>
      <c r="AR19" s="45">
        <f>AR10*Hypotheses!$B$76*Hypotheses!$B$91+AR13*Hypotheses!$B$90+AR8*Hypotheses!$B$76*Hypotheses!$B$89+AR10*Hypotheses!$B$77*Hypotheses!$C$91+AR14*Hypotheses!$C$90+AR8*Hypotheses!$B$77*Hypotheses!$C$89+AR10*Hypotheses!$B$78*Hypotheses!$D$91+AR15*Hypotheses!$D$90+AR8*Hypotheses!$B$78*Hypotheses!$D$89</f>
        <v/>
      </c>
      <c r="AS19" s="45">
        <f>AS10*Hypotheses!$B$76*Hypotheses!$B$91+AS13*Hypotheses!$B$90+AS8*Hypotheses!$B$76*Hypotheses!$B$89+AS10*Hypotheses!$B$77*Hypotheses!$C$91+AS14*Hypotheses!$C$90+AS8*Hypotheses!$B$77*Hypotheses!$C$89+AS10*Hypotheses!$B$78*Hypotheses!$D$91+AS15*Hypotheses!$D$90+AS8*Hypotheses!$B$78*Hypotheses!$D$89</f>
        <v/>
      </c>
      <c r="AT19" s="45">
        <f>AT10*Hypotheses!$B$76*Hypotheses!$B$91+AT13*Hypotheses!$B$90+AT8*Hypotheses!$B$76*Hypotheses!$B$89+AT10*Hypotheses!$B$77*Hypotheses!$C$91+AT14*Hypotheses!$C$90+AT8*Hypotheses!$B$77*Hypotheses!$C$89+AT10*Hypotheses!$B$78*Hypotheses!$D$91+AT15*Hypotheses!$D$90+AT8*Hypotheses!$B$78*Hypotheses!$D$89</f>
        <v/>
      </c>
      <c r="AU19" s="45">
        <f>AU10*Hypotheses!$B$76*Hypotheses!$B$91+AU13*Hypotheses!$B$90+AU8*Hypotheses!$B$76*Hypotheses!$B$89+AU10*Hypotheses!$B$77*Hypotheses!$C$91+AU14*Hypotheses!$C$90+AU8*Hypotheses!$B$77*Hypotheses!$C$89+AU10*Hypotheses!$B$78*Hypotheses!$D$91+AU15*Hypotheses!$D$90+AU8*Hypotheses!$B$78*Hypotheses!$D$89</f>
        <v/>
      </c>
      <c r="AV19" s="45">
        <f>AV10*Hypotheses!$B$76*Hypotheses!$B$91+AV13*Hypotheses!$B$90+AV8*Hypotheses!$B$76*Hypotheses!$B$89+AV10*Hypotheses!$B$77*Hypotheses!$C$91+AV14*Hypotheses!$C$90+AV8*Hypotheses!$B$77*Hypotheses!$C$89+AV10*Hypotheses!$B$78*Hypotheses!$D$91+AV15*Hypotheses!$D$90+AV8*Hypotheses!$B$78*Hypotheses!$D$89</f>
        <v/>
      </c>
      <c r="AW19" s="45">
        <f>AW10*Hypotheses!$B$76*Hypotheses!$B$91+AW13*Hypotheses!$B$90+AW8*Hypotheses!$B$76*Hypotheses!$B$89+AW10*Hypotheses!$B$77*Hypotheses!$C$91+AW14*Hypotheses!$C$90+AW8*Hypotheses!$B$77*Hypotheses!$C$89+AW10*Hypotheses!$B$78*Hypotheses!$D$91+AW15*Hypotheses!$D$90+AW8*Hypotheses!$B$78*Hypotheses!$D$89</f>
        <v/>
      </c>
      <c r="AX19" s="45">
        <f>AX10*Hypotheses!$B$76*Hypotheses!$B$91+AX13*Hypotheses!$B$90+AX8*Hypotheses!$B$76*Hypotheses!$B$89+AX10*Hypotheses!$B$77*Hypotheses!$C$91+AX14*Hypotheses!$C$90+AX8*Hypotheses!$B$77*Hypotheses!$C$89+AX10*Hypotheses!$B$78*Hypotheses!$D$91+AX15*Hypotheses!$D$90+AX8*Hypotheses!$B$78*Hypotheses!$D$89</f>
        <v/>
      </c>
      <c r="AY19" s="45">
        <f>AY10*Hypotheses!$B$76*Hypotheses!$B$91+AY13*Hypotheses!$B$90+AY8*Hypotheses!$B$76*Hypotheses!$B$89+AY10*Hypotheses!$B$77*Hypotheses!$C$91+AY14*Hypotheses!$C$90+AY8*Hypotheses!$B$77*Hypotheses!$C$89+AY10*Hypotheses!$B$78*Hypotheses!$D$91+AY15*Hypotheses!$D$90+AY8*Hypotheses!$B$78*Hypotheses!$D$89</f>
        <v/>
      </c>
      <c r="AZ19" s="45">
        <f>AZ10*Hypotheses!$B$76*Hypotheses!$B$91+AZ13*Hypotheses!$B$90+AZ8*Hypotheses!$B$76*Hypotheses!$B$89+AZ10*Hypotheses!$B$77*Hypotheses!$C$91+AZ14*Hypotheses!$C$90+AZ8*Hypotheses!$B$77*Hypotheses!$C$89+AZ10*Hypotheses!$B$78*Hypotheses!$D$91+AZ15*Hypotheses!$D$90+AZ8*Hypotheses!$B$78*Hypotheses!$D$89</f>
        <v/>
      </c>
      <c r="BA19" s="45">
        <f>BA10*Hypotheses!$B$76*Hypotheses!$B$91+BA13*Hypotheses!$B$90+BA8*Hypotheses!$B$76*Hypotheses!$B$89+BA10*Hypotheses!$B$77*Hypotheses!$C$91+BA14*Hypotheses!$C$90+BA8*Hypotheses!$B$77*Hypotheses!$C$89+BA10*Hypotheses!$B$78*Hypotheses!$D$91+BA15*Hypotheses!$D$90+BA8*Hypotheses!$B$78*Hypotheses!$D$89</f>
        <v/>
      </c>
      <c r="BB19" s="45">
        <f>BB10*Hypotheses!$B$76*Hypotheses!$B$91+BB13*Hypotheses!$B$90+BB8*Hypotheses!$B$76*Hypotheses!$B$89+BB10*Hypotheses!$B$77*Hypotheses!$C$91+BB14*Hypotheses!$C$90+BB8*Hypotheses!$B$77*Hypotheses!$C$89+BB10*Hypotheses!$B$78*Hypotheses!$D$91+BB15*Hypotheses!$D$90+BB8*Hypotheses!$B$78*Hypotheses!$D$89</f>
        <v/>
      </c>
      <c r="BC19" s="45">
        <f>BC10*Hypotheses!$B$76*Hypotheses!$B$91+BC13*Hypotheses!$B$90+BC8*Hypotheses!$B$76*Hypotheses!$B$89+BC10*Hypotheses!$B$77*Hypotheses!$C$91+BC14*Hypotheses!$C$90+BC8*Hypotheses!$B$77*Hypotheses!$C$89+BC10*Hypotheses!$B$78*Hypotheses!$D$91+BC15*Hypotheses!$D$90+BC8*Hypotheses!$B$78*Hypotheses!$D$89</f>
        <v/>
      </c>
      <c r="BD19" s="45">
        <f>BD10*Hypotheses!$B$76*Hypotheses!$B$91+BD13*Hypotheses!$B$90+BD8*Hypotheses!$B$76*Hypotheses!$B$89+BD10*Hypotheses!$B$77*Hypotheses!$C$91+BD14*Hypotheses!$C$90+BD8*Hypotheses!$B$77*Hypotheses!$C$89+BD10*Hypotheses!$B$78*Hypotheses!$D$91+BD15*Hypotheses!$D$90+BD8*Hypotheses!$B$78*Hypotheses!$D$89</f>
        <v/>
      </c>
      <c r="BE19" s="45">
        <f>BE10*Hypotheses!$B$76*Hypotheses!$B$91+BE13*Hypotheses!$B$90+BE8*Hypotheses!$B$76*Hypotheses!$B$89+BE10*Hypotheses!$B$77*Hypotheses!$C$91+BE14*Hypotheses!$C$90+BE8*Hypotheses!$B$77*Hypotheses!$C$89+BE10*Hypotheses!$B$78*Hypotheses!$D$91+BE15*Hypotheses!$D$90+BE8*Hypotheses!$B$78*Hypotheses!$D$89</f>
        <v/>
      </c>
      <c r="BF19" s="45">
        <f>BF10*Hypotheses!$B$76*Hypotheses!$B$91+BF13*Hypotheses!$B$90+BF8*Hypotheses!$B$76*Hypotheses!$B$89+BF10*Hypotheses!$B$77*Hypotheses!$C$91+BF14*Hypotheses!$C$90+BF8*Hypotheses!$B$77*Hypotheses!$C$89+BF10*Hypotheses!$B$78*Hypotheses!$D$91+BF15*Hypotheses!$D$90+BF8*Hypotheses!$B$78*Hypotheses!$D$89</f>
        <v/>
      </c>
      <c r="BG19" s="45">
        <f>BG10*Hypotheses!$B$76*Hypotheses!$B$91+BG13*Hypotheses!$B$90+BG8*Hypotheses!$B$76*Hypotheses!$B$89+BG10*Hypotheses!$B$77*Hypotheses!$C$91+BG14*Hypotheses!$C$90+BG8*Hypotheses!$B$77*Hypotheses!$C$89+BG10*Hypotheses!$B$78*Hypotheses!$D$91+BG15*Hypotheses!$D$90+BG8*Hypotheses!$B$78*Hypotheses!$D$89</f>
        <v/>
      </c>
      <c r="BH19" s="45">
        <f>BH10*Hypotheses!$B$76*Hypotheses!$B$91+BH13*Hypotheses!$B$90+BH8*Hypotheses!$B$76*Hypotheses!$B$89+BH10*Hypotheses!$B$77*Hypotheses!$C$91+BH14*Hypotheses!$C$90+BH8*Hypotheses!$B$77*Hypotheses!$C$89+BH10*Hypotheses!$B$78*Hypotheses!$D$91+BH15*Hypotheses!$D$90+BH8*Hypotheses!$B$78*Hypotheses!$D$89</f>
        <v/>
      </c>
      <c r="BI19" s="45">
        <f>BI10*Hypotheses!$B$76*Hypotheses!$B$91+BI13*Hypotheses!$B$90+BI8*Hypotheses!$B$76*Hypotheses!$B$89+BI10*Hypotheses!$B$77*Hypotheses!$C$91+BI14*Hypotheses!$C$90+BI8*Hypotheses!$B$77*Hypotheses!$C$89+BI10*Hypotheses!$B$78*Hypotheses!$D$91+BI15*Hypotheses!$D$90+BI8*Hypotheses!$B$78*Hypotheses!$D$89</f>
        <v/>
      </c>
      <c r="BJ19" s="45">
        <f>BJ10*Hypotheses!$B$76*Hypotheses!$B$91+BJ13*Hypotheses!$B$90+BJ8*Hypotheses!$B$76*Hypotheses!$B$89+BJ10*Hypotheses!$B$77*Hypotheses!$C$91+BJ14*Hypotheses!$C$90+BJ8*Hypotheses!$B$77*Hypotheses!$C$89+BJ10*Hypotheses!$B$78*Hypotheses!$D$91+BJ15*Hypotheses!$D$90+BJ8*Hypotheses!$B$78*Hypotheses!$D$89</f>
        <v/>
      </c>
    </row>
    <row r="20">
      <c r="A20" s="28" t="inlineStr">
        <is>
          <t>Capacité de l'équipe actuelle</t>
        </is>
      </c>
      <c r="C20" s="45">
        <f>Hypotheses!$B$97</f>
        <v/>
      </c>
      <c r="D20" s="45">
        <f>Hypotheses!$B$97</f>
        <v/>
      </c>
      <c r="E20" s="45">
        <f>Hypotheses!$B$97</f>
        <v/>
      </c>
      <c r="F20" s="45">
        <f>Hypotheses!$B$97</f>
        <v/>
      </c>
      <c r="G20" s="45">
        <f>Hypotheses!$B$97</f>
        <v/>
      </c>
      <c r="H20" s="45">
        <f>Hypotheses!$B$97</f>
        <v/>
      </c>
      <c r="I20" s="45">
        <f>Hypotheses!$B$97</f>
        <v/>
      </c>
      <c r="J20" s="45">
        <f>Hypotheses!$B$97</f>
        <v/>
      </c>
      <c r="K20" s="45">
        <f>Hypotheses!$B$97</f>
        <v/>
      </c>
      <c r="L20" s="45">
        <f>Hypotheses!$B$97</f>
        <v/>
      </c>
      <c r="M20" s="45">
        <f>Hypotheses!$B$97</f>
        <v/>
      </c>
      <c r="N20" s="45">
        <f>Hypotheses!$B$97</f>
        <v/>
      </c>
      <c r="O20" s="45">
        <f>Hypotheses!$B$97</f>
        <v/>
      </c>
      <c r="P20" s="45">
        <f>Hypotheses!$B$97</f>
        <v/>
      </c>
      <c r="Q20" s="45">
        <f>Hypotheses!$B$97</f>
        <v/>
      </c>
      <c r="R20" s="45">
        <f>Hypotheses!$B$97</f>
        <v/>
      </c>
      <c r="S20" s="45">
        <f>Hypotheses!$B$97</f>
        <v/>
      </c>
      <c r="T20" s="45">
        <f>Hypotheses!$B$97</f>
        <v/>
      </c>
      <c r="U20" s="45">
        <f>Hypotheses!$B$97</f>
        <v/>
      </c>
      <c r="V20" s="45">
        <f>Hypotheses!$B$97</f>
        <v/>
      </c>
      <c r="W20" s="45">
        <f>Hypotheses!$B$97</f>
        <v/>
      </c>
      <c r="X20" s="45">
        <f>Hypotheses!$B$97</f>
        <v/>
      </c>
      <c r="Y20" s="45">
        <f>Hypotheses!$B$97</f>
        <v/>
      </c>
      <c r="Z20" s="45">
        <f>Hypotheses!$B$97</f>
        <v/>
      </c>
      <c r="AA20" s="45">
        <f>Hypotheses!$B$97</f>
        <v/>
      </c>
      <c r="AB20" s="45">
        <f>Hypotheses!$B$97</f>
        <v/>
      </c>
      <c r="AC20" s="45">
        <f>Hypotheses!$B$97</f>
        <v/>
      </c>
      <c r="AD20" s="45">
        <f>Hypotheses!$B$97</f>
        <v/>
      </c>
      <c r="AE20" s="45">
        <f>Hypotheses!$B$97</f>
        <v/>
      </c>
      <c r="AF20" s="45">
        <f>Hypotheses!$B$97</f>
        <v/>
      </c>
      <c r="AG20" s="45">
        <f>Hypotheses!$B$97</f>
        <v/>
      </c>
      <c r="AH20" s="45">
        <f>Hypotheses!$B$97</f>
        <v/>
      </c>
      <c r="AI20" s="45">
        <f>Hypotheses!$B$97</f>
        <v/>
      </c>
      <c r="AJ20" s="45">
        <f>Hypotheses!$B$97</f>
        <v/>
      </c>
      <c r="AK20" s="45">
        <f>Hypotheses!$B$97</f>
        <v/>
      </c>
      <c r="AL20" s="45">
        <f>Hypotheses!$B$97</f>
        <v/>
      </c>
      <c r="AM20" s="45">
        <f>Hypotheses!$B$97</f>
        <v/>
      </c>
      <c r="AN20" s="45">
        <f>Hypotheses!$B$97</f>
        <v/>
      </c>
      <c r="AO20" s="45">
        <f>Hypotheses!$B$97</f>
        <v/>
      </c>
      <c r="AP20" s="45">
        <f>Hypotheses!$B$97</f>
        <v/>
      </c>
      <c r="AQ20" s="45">
        <f>Hypotheses!$B$97</f>
        <v/>
      </c>
      <c r="AR20" s="45">
        <f>Hypotheses!$B$97</f>
        <v/>
      </c>
      <c r="AS20" s="45">
        <f>Hypotheses!$B$97</f>
        <v/>
      </c>
      <c r="AT20" s="45">
        <f>Hypotheses!$B$97</f>
        <v/>
      </c>
      <c r="AU20" s="45">
        <f>Hypotheses!$B$97</f>
        <v/>
      </c>
      <c r="AV20" s="45">
        <f>Hypotheses!$B$97</f>
        <v/>
      </c>
      <c r="AW20" s="45">
        <f>Hypotheses!$B$97</f>
        <v/>
      </c>
      <c r="AX20" s="45">
        <f>Hypotheses!$B$97</f>
        <v/>
      </c>
      <c r="AY20" s="45">
        <f>Hypotheses!$B$97</f>
        <v/>
      </c>
      <c r="AZ20" s="45">
        <f>Hypotheses!$B$97</f>
        <v/>
      </c>
      <c r="BA20" s="45">
        <f>Hypotheses!$B$97</f>
        <v/>
      </c>
      <c r="BB20" s="45">
        <f>Hypotheses!$B$97</f>
        <v/>
      </c>
      <c r="BC20" s="45">
        <f>Hypotheses!$B$97</f>
        <v/>
      </c>
      <c r="BD20" s="45">
        <f>Hypotheses!$B$97</f>
        <v/>
      </c>
      <c r="BE20" s="45">
        <f>Hypotheses!$B$97</f>
        <v/>
      </c>
      <c r="BF20" s="45">
        <f>Hypotheses!$B$97</f>
        <v/>
      </c>
      <c r="BG20" s="45">
        <f>Hypotheses!$B$97</f>
        <v/>
      </c>
      <c r="BH20" s="45">
        <f>Hypotheses!$B$97</f>
        <v/>
      </c>
      <c r="BI20" s="45">
        <f>Hypotheses!$B$97</f>
        <v/>
      </c>
      <c r="BJ20" s="45">
        <f>Hypotheses!$B$97</f>
        <v/>
      </c>
    </row>
    <row r="21">
      <c r="A21" s="28" t="inlineStr">
        <is>
          <t>Taux d'occupation du support</t>
        </is>
      </c>
      <c r="C21" s="15">
        <f>IF(C20&gt;0,C19/C20,0)</f>
        <v/>
      </c>
      <c r="D21" s="15">
        <f>IF(D20&gt;0,D19/D20,0)</f>
        <v/>
      </c>
      <c r="E21" s="15">
        <f>IF(E20&gt;0,E19/E20,0)</f>
        <v/>
      </c>
      <c r="F21" s="15">
        <f>IF(F20&gt;0,F19/F20,0)</f>
        <v/>
      </c>
      <c r="G21" s="15">
        <f>IF(G20&gt;0,G19/G20,0)</f>
        <v/>
      </c>
      <c r="H21" s="15">
        <f>IF(H20&gt;0,H19/H20,0)</f>
        <v/>
      </c>
      <c r="I21" s="15">
        <f>IF(I20&gt;0,I19/I20,0)</f>
        <v/>
      </c>
      <c r="J21" s="15">
        <f>IF(J20&gt;0,J19/J20,0)</f>
        <v/>
      </c>
      <c r="K21" s="15">
        <f>IF(K20&gt;0,K19/K20,0)</f>
        <v/>
      </c>
      <c r="L21" s="15">
        <f>IF(L20&gt;0,L19/L20,0)</f>
        <v/>
      </c>
      <c r="M21" s="15">
        <f>IF(M20&gt;0,M19/M20,0)</f>
        <v/>
      </c>
      <c r="N21" s="15">
        <f>IF(N20&gt;0,N19/N20,0)</f>
        <v/>
      </c>
      <c r="O21" s="15">
        <f>IF(O20&gt;0,O19/O20,0)</f>
        <v/>
      </c>
      <c r="P21" s="15">
        <f>IF(P20&gt;0,P19/P20,0)</f>
        <v/>
      </c>
      <c r="Q21" s="15">
        <f>IF(Q20&gt;0,Q19/Q20,0)</f>
        <v/>
      </c>
      <c r="R21" s="15">
        <f>IF(R20&gt;0,R19/R20,0)</f>
        <v/>
      </c>
      <c r="S21" s="15">
        <f>IF(S20&gt;0,S19/S20,0)</f>
        <v/>
      </c>
      <c r="T21" s="15">
        <f>IF(T20&gt;0,T19/T20,0)</f>
        <v/>
      </c>
      <c r="U21" s="15">
        <f>IF(U20&gt;0,U19/U20,0)</f>
        <v/>
      </c>
      <c r="V21" s="15">
        <f>IF(V20&gt;0,V19/V20,0)</f>
        <v/>
      </c>
      <c r="W21" s="15">
        <f>IF(W20&gt;0,W19/W20,0)</f>
        <v/>
      </c>
      <c r="X21" s="15">
        <f>IF(X20&gt;0,X19/X20,0)</f>
        <v/>
      </c>
      <c r="Y21" s="15">
        <f>IF(Y20&gt;0,Y19/Y20,0)</f>
        <v/>
      </c>
      <c r="Z21" s="15">
        <f>IF(Z20&gt;0,Z19/Z20,0)</f>
        <v/>
      </c>
      <c r="AA21" s="15">
        <f>IF(AA20&gt;0,AA19/AA20,0)</f>
        <v/>
      </c>
      <c r="AB21" s="15">
        <f>IF(AB20&gt;0,AB19/AB20,0)</f>
        <v/>
      </c>
      <c r="AC21" s="15">
        <f>IF(AC20&gt;0,AC19/AC20,0)</f>
        <v/>
      </c>
      <c r="AD21" s="15">
        <f>IF(AD20&gt;0,AD19/AD20,0)</f>
        <v/>
      </c>
      <c r="AE21" s="15">
        <f>IF(AE20&gt;0,AE19/AE20,0)</f>
        <v/>
      </c>
      <c r="AF21" s="15">
        <f>IF(AF20&gt;0,AF19/AF20,0)</f>
        <v/>
      </c>
      <c r="AG21" s="15">
        <f>IF(AG20&gt;0,AG19/AG20,0)</f>
        <v/>
      </c>
      <c r="AH21" s="15">
        <f>IF(AH20&gt;0,AH19/AH20,0)</f>
        <v/>
      </c>
      <c r="AI21" s="15">
        <f>IF(AI20&gt;0,AI19/AI20,0)</f>
        <v/>
      </c>
      <c r="AJ21" s="15">
        <f>IF(AJ20&gt;0,AJ19/AJ20,0)</f>
        <v/>
      </c>
      <c r="AK21" s="15">
        <f>IF(AK20&gt;0,AK19/AK20,0)</f>
        <v/>
      </c>
      <c r="AL21" s="15">
        <f>IF(AL20&gt;0,AL19/AL20,0)</f>
        <v/>
      </c>
      <c r="AM21" s="15">
        <f>IF(AM20&gt;0,AM19/AM20,0)</f>
        <v/>
      </c>
      <c r="AN21" s="15">
        <f>IF(AN20&gt;0,AN19/AN20,0)</f>
        <v/>
      </c>
      <c r="AO21" s="15">
        <f>IF(AO20&gt;0,AO19/AO20,0)</f>
        <v/>
      </c>
      <c r="AP21" s="15">
        <f>IF(AP20&gt;0,AP19/AP20,0)</f>
        <v/>
      </c>
      <c r="AQ21" s="15">
        <f>IF(AQ20&gt;0,AQ19/AQ20,0)</f>
        <v/>
      </c>
      <c r="AR21" s="15">
        <f>IF(AR20&gt;0,AR19/AR20,0)</f>
        <v/>
      </c>
      <c r="AS21" s="15">
        <f>IF(AS20&gt;0,AS19/AS20,0)</f>
        <v/>
      </c>
      <c r="AT21" s="15">
        <f>IF(AT20&gt;0,AT19/AT20,0)</f>
        <v/>
      </c>
      <c r="AU21" s="15">
        <f>IF(AU20&gt;0,AU19/AU20,0)</f>
        <v/>
      </c>
      <c r="AV21" s="15">
        <f>IF(AV20&gt;0,AV19/AV20,0)</f>
        <v/>
      </c>
      <c r="AW21" s="15">
        <f>IF(AW20&gt;0,AW19/AW20,0)</f>
        <v/>
      </c>
      <c r="AX21" s="15">
        <f>IF(AX20&gt;0,AX19/AX20,0)</f>
        <v/>
      </c>
      <c r="AY21" s="15">
        <f>IF(AY20&gt;0,AY19/AY20,0)</f>
        <v/>
      </c>
      <c r="AZ21" s="15">
        <f>IF(AZ20&gt;0,AZ19/AZ20,0)</f>
        <v/>
      </c>
      <c r="BA21" s="15">
        <f>IF(BA20&gt;0,BA19/BA20,0)</f>
        <v/>
      </c>
      <c r="BB21" s="15">
        <f>IF(BB20&gt;0,BB19/BB20,0)</f>
        <v/>
      </c>
      <c r="BC21" s="15">
        <f>IF(BC20&gt;0,BC19/BC20,0)</f>
        <v/>
      </c>
      <c r="BD21" s="15">
        <f>IF(BD20&gt;0,BD19/BD20,0)</f>
        <v/>
      </c>
      <c r="BE21" s="15">
        <f>IF(BE20&gt;0,BE19/BE20,0)</f>
        <v/>
      </c>
      <c r="BF21" s="15">
        <f>IF(BF20&gt;0,BF19/BF20,0)</f>
        <v/>
      </c>
      <c r="BG21" s="15">
        <f>IF(BG20&gt;0,BG19/BG20,0)</f>
        <v/>
      </c>
      <c r="BH21" s="15">
        <f>IF(BH20&gt;0,BH19/BH20,0)</f>
        <v/>
      </c>
      <c r="BI21" s="15">
        <f>IF(BI20&gt;0,BI19/BI20,0)</f>
        <v/>
      </c>
      <c r="BJ21" s="15">
        <f>IF(BJ20&gt;0,BJ19/BJ20,0)</f>
        <v/>
      </c>
    </row>
    <row r="22">
      <c r="A22" s="28" t="inlineStr">
        <is>
          <t>Chargés de support supplémentaires</t>
        </is>
      </c>
      <c r="C22" s="14">
        <f>IF(Hypotheses!$B$100="proportionnel",MAX(0,C19-C20)/Hypotheses!$B$99,ROUNDUP(MAX(0,C19-C20)/Hypotheses!$B$99,0))</f>
        <v/>
      </c>
      <c r="D22" s="14">
        <f>IF(Hypotheses!$B$100="proportionnel",MAX(0,D19-D20)/Hypotheses!$B$99,ROUNDUP(MAX(0,D19-D20)/Hypotheses!$B$99,0))</f>
        <v/>
      </c>
      <c r="E22" s="14">
        <f>IF(Hypotheses!$B$100="proportionnel",MAX(0,E19-E20)/Hypotheses!$B$99,ROUNDUP(MAX(0,E19-E20)/Hypotheses!$B$99,0))</f>
        <v/>
      </c>
      <c r="F22" s="14">
        <f>IF(Hypotheses!$B$100="proportionnel",MAX(0,F19-F20)/Hypotheses!$B$99,ROUNDUP(MAX(0,F19-F20)/Hypotheses!$B$99,0))</f>
        <v/>
      </c>
      <c r="G22" s="14">
        <f>IF(Hypotheses!$B$100="proportionnel",MAX(0,G19-G20)/Hypotheses!$B$99,ROUNDUP(MAX(0,G19-G20)/Hypotheses!$B$99,0))</f>
        <v/>
      </c>
      <c r="H22" s="14">
        <f>IF(Hypotheses!$B$100="proportionnel",MAX(0,H19-H20)/Hypotheses!$B$99,ROUNDUP(MAX(0,H19-H20)/Hypotheses!$B$99,0))</f>
        <v/>
      </c>
      <c r="I22" s="14">
        <f>IF(Hypotheses!$B$100="proportionnel",MAX(0,I19-I20)/Hypotheses!$B$99,ROUNDUP(MAX(0,I19-I20)/Hypotheses!$B$99,0))</f>
        <v/>
      </c>
      <c r="J22" s="14">
        <f>IF(Hypotheses!$B$100="proportionnel",MAX(0,J19-J20)/Hypotheses!$B$99,ROUNDUP(MAX(0,J19-J20)/Hypotheses!$B$99,0))</f>
        <v/>
      </c>
      <c r="K22" s="14">
        <f>IF(Hypotheses!$B$100="proportionnel",MAX(0,K19-K20)/Hypotheses!$B$99,ROUNDUP(MAX(0,K19-K20)/Hypotheses!$B$99,0))</f>
        <v/>
      </c>
      <c r="L22" s="14">
        <f>IF(Hypotheses!$B$100="proportionnel",MAX(0,L19-L20)/Hypotheses!$B$99,ROUNDUP(MAX(0,L19-L20)/Hypotheses!$B$99,0))</f>
        <v/>
      </c>
      <c r="M22" s="14">
        <f>IF(Hypotheses!$B$100="proportionnel",MAX(0,M19-M20)/Hypotheses!$B$99,ROUNDUP(MAX(0,M19-M20)/Hypotheses!$B$99,0))</f>
        <v/>
      </c>
      <c r="N22" s="14">
        <f>IF(Hypotheses!$B$100="proportionnel",MAX(0,N19-N20)/Hypotheses!$B$99,ROUNDUP(MAX(0,N19-N20)/Hypotheses!$B$99,0))</f>
        <v/>
      </c>
      <c r="O22" s="14">
        <f>IF(Hypotheses!$B$100="proportionnel",MAX(0,O19-O20)/Hypotheses!$B$99,ROUNDUP(MAX(0,O19-O20)/Hypotheses!$B$99,0))</f>
        <v/>
      </c>
      <c r="P22" s="14">
        <f>IF(Hypotheses!$B$100="proportionnel",MAX(0,P19-P20)/Hypotheses!$B$99,ROUNDUP(MAX(0,P19-P20)/Hypotheses!$B$99,0))</f>
        <v/>
      </c>
      <c r="Q22" s="14">
        <f>IF(Hypotheses!$B$100="proportionnel",MAX(0,Q19-Q20)/Hypotheses!$B$99,ROUNDUP(MAX(0,Q19-Q20)/Hypotheses!$B$99,0))</f>
        <v/>
      </c>
      <c r="R22" s="14">
        <f>IF(Hypotheses!$B$100="proportionnel",MAX(0,R19-R20)/Hypotheses!$B$99,ROUNDUP(MAX(0,R19-R20)/Hypotheses!$B$99,0))</f>
        <v/>
      </c>
      <c r="S22" s="14">
        <f>IF(Hypotheses!$B$100="proportionnel",MAX(0,S19-S20)/Hypotheses!$B$99,ROUNDUP(MAX(0,S19-S20)/Hypotheses!$B$99,0))</f>
        <v/>
      </c>
      <c r="T22" s="14">
        <f>IF(Hypotheses!$B$100="proportionnel",MAX(0,T19-T20)/Hypotheses!$B$99,ROUNDUP(MAX(0,T19-T20)/Hypotheses!$B$99,0))</f>
        <v/>
      </c>
      <c r="U22" s="14">
        <f>IF(Hypotheses!$B$100="proportionnel",MAX(0,U19-U20)/Hypotheses!$B$99,ROUNDUP(MAX(0,U19-U20)/Hypotheses!$B$99,0))</f>
        <v/>
      </c>
      <c r="V22" s="14">
        <f>IF(Hypotheses!$B$100="proportionnel",MAX(0,V19-V20)/Hypotheses!$B$99,ROUNDUP(MAX(0,V19-V20)/Hypotheses!$B$99,0))</f>
        <v/>
      </c>
      <c r="W22" s="14">
        <f>IF(Hypotheses!$B$100="proportionnel",MAX(0,W19-W20)/Hypotheses!$B$99,ROUNDUP(MAX(0,W19-W20)/Hypotheses!$B$99,0))</f>
        <v/>
      </c>
      <c r="X22" s="14">
        <f>IF(Hypotheses!$B$100="proportionnel",MAX(0,X19-X20)/Hypotheses!$B$99,ROUNDUP(MAX(0,X19-X20)/Hypotheses!$B$99,0))</f>
        <v/>
      </c>
      <c r="Y22" s="14">
        <f>IF(Hypotheses!$B$100="proportionnel",MAX(0,Y19-Y20)/Hypotheses!$B$99,ROUNDUP(MAX(0,Y19-Y20)/Hypotheses!$B$99,0))</f>
        <v/>
      </c>
      <c r="Z22" s="14">
        <f>IF(Hypotheses!$B$100="proportionnel",MAX(0,Z19-Z20)/Hypotheses!$B$99,ROUNDUP(MAX(0,Z19-Z20)/Hypotheses!$B$99,0))</f>
        <v/>
      </c>
      <c r="AA22" s="14">
        <f>IF(Hypotheses!$B$100="proportionnel",MAX(0,AA19-AA20)/Hypotheses!$B$99,ROUNDUP(MAX(0,AA19-AA20)/Hypotheses!$B$99,0))</f>
        <v/>
      </c>
      <c r="AB22" s="14">
        <f>IF(Hypotheses!$B$100="proportionnel",MAX(0,AB19-AB20)/Hypotheses!$B$99,ROUNDUP(MAX(0,AB19-AB20)/Hypotheses!$B$99,0))</f>
        <v/>
      </c>
      <c r="AC22" s="14">
        <f>IF(Hypotheses!$B$100="proportionnel",MAX(0,AC19-AC20)/Hypotheses!$B$99,ROUNDUP(MAX(0,AC19-AC20)/Hypotheses!$B$99,0))</f>
        <v/>
      </c>
      <c r="AD22" s="14">
        <f>IF(Hypotheses!$B$100="proportionnel",MAX(0,AD19-AD20)/Hypotheses!$B$99,ROUNDUP(MAX(0,AD19-AD20)/Hypotheses!$B$99,0))</f>
        <v/>
      </c>
      <c r="AE22" s="14">
        <f>IF(Hypotheses!$B$100="proportionnel",MAX(0,AE19-AE20)/Hypotheses!$B$99,ROUNDUP(MAX(0,AE19-AE20)/Hypotheses!$B$99,0))</f>
        <v/>
      </c>
      <c r="AF22" s="14">
        <f>IF(Hypotheses!$B$100="proportionnel",MAX(0,AF19-AF20)/Hypotheses!$B$99,ROUNDUP(MAX(0,AF19-AF20)/Hypotheses!$B$99,0))</f>
        <v/>
      </c>
      <c r="AG22" s="14">
        <f>IF(Hypotheses!$B$100="proportionnel",MAX(0,AG19-AG20)/Hypotheses!$B$99,ROUNDUP(MAX(0,AG19-AG20)/Hypotheses!$B$99,0))</f>
        <v/>
      </c>
      <c r="AH22" s="14">
        <f>IF(Hypotheses!$B$100="proportionnel",MAX(0,AH19-AH20)/Hypotheses!$B$99,ROUNDUP(MAX(0,AH19-AH20)/Hypotheses!$B$99,0))</f>
        <v/>
      </c>
      <c r="AI22" s="14">
        <f>IF(Hypotheses!$B$100="proportionnel",MAX(0,AI19-AI20)/Hypotheses!$B$99,ROUNDUP(MAX(0,AI19-AI20)/Hypotheses!$B$99,0))</f>
        <v/>
      </c>
      <c r="AJ22" s="14">
        <f>IF(Hypotheses!$B$100="proportionnel",MAX(0,AJ19-AJ20)/Hypotheses!$B$99,ROUNDUP(MAX(0,AJ19-AJ20)/Hypotheses!$B$99,0))</f>
        <v/>
      </c>
      <c r="AK22" s="14">
        <f>IF(Hypotheses!$B$100="proportionnel",MAX(0,AK19-AK20)/Hypotheses!$B$99,ROUNDUP(MAX(0,AK19-AK20)/Hypotheses!$B$99,0))</f>
        <v/>
      </c>
      <c r="AL22" s="14">
        <f>IF(Hypotheses!$B$100="proportionnel",MAX(0,AL19-AL20)/Hypotheses!$B$99,ROUNDUP(MAX(0,AL19-AL20)/Hypotheses!$B$99,0))</f>
        <v/>
      </c>
      <c r="AM22" s="14">
        <f>IF(Hypotheses!$B$100="proportionnel",MAX(0,AM19-AM20)/Hypotheses!$B$99,ROUNDUP(MAX(0,AM19-AM20)/Hypotheses!$B$99,0))</f>
        <v/>
      </c>
      <c r="AN22" s="14">
        <f>IF(Hypotheses!$B$100="proportionnel",MAX(0,AN19-AN20)/Hypotheses!$B$99,ROUNDUP(MAX(0,AN19-AN20)/Hypotheses!$B$99,0))</f>
        <v/>
      </c>
      <c r="AO22" s="14">
        <f>IF(Hypotheses!$B$100="proportionnel",MAX(0,AO19-AO20)/Hypotheses!$B$99,ROUNDUP(MAX(0,AO19-AO20)/Hypotheses!$B$99,0))</f>
        <v/>
      </c>
      <c r="AP22" s="14">
        <f>IF(Hypotheses!$B$100="proportionnel",MAX(0,AP19-AP20)/Hypotheses!$B$99,ROUNDUP(MAX(0,AP19-AP20)/Hypotheses!$B$99,0))</f>
        <v/>
      </c>
      <c r="AQ22" s="14">
        <f>IF(Hypotheses!$B$100="proportionnel",MAX(0,AQ19-AQ20)/Hypotheses!$B$99,ROUNDUP(MAX(0,AQ19-AQ20)/Hypotheses!$B$99,0))</f>
        <v/>
      </c>
      <c r="AR22" s="14">
        <f>IF(Hypotheses!$B$100="proportionnel",MAX(0,AR19-AR20)/Hypotheses!$B$99,ROUNDUP(MAX(0,AR19-AR20)/Hypotheses!$B$99,0))</f>
        <v/>
      </c>
      <c r="AS22" s="14">
        <f>IF(Hypotheses!$B$100="proportionnel",MAX(0,AS19-AS20)/Hypotheses!$B$99,ROUNDUP(MAX(0,AS19-AS20)/Hypotheses!$B$99,0))</f>
        <v/>
      </c>
      <c r="AT22" s="14">
        <f>IF(Hypotheses!$B$100="proportionnel",MAX(0,AT19-AT20)/Hypotheses!$B$99,ROUNDUP(MAX(0,AT19-AT20)/Hypotheses!$B$99,0))</f>
        <v/>
      </c>
      <c r="AU22" s="14">
        <f>IF(Hypotheses!$B$100="proportionnel",MAX(0,AU19-AU20)/Hypotheses!$B$99,ROUNDUP(MAX(0,AU19-AU20)/Hypotheses!$B$99,0))</f>
        <v/>
      </c>
      <c r="AV22" s="14">
        <f>IF(Hypotheses!$B$100="proportionnel",MAX(0,AV19-AV20)/Hypotheses!$B$99,ROUNDUP(MAX(0,AV19-AV20)/Hypotheses!$B$99,0))</f>
        <v/>
      </c>
      <c r="AW22" s="14">
        <f>IF(Hypotheses!$B$100="proportionnel",MAX(0,AW19-AW20)/Hypotheses!$B$99,ROUNDUP(MAX(0,AW19-AW20)/Hypotheses!$B$99,0))</f>
        <v/>
      </c>
      <c r="AX22" s="14">
        <f>IF(Hypotheses!$B$100="proportionnel",MAX(0,AX19-AX20)/Hypotheses!$B$99,ROUNDUP(MAX(0,AX19-AX20)/Hypotheses!$B$99,0))</f>
        <v/>
      </c>
      <c r="AY22" s="14">
        <f>IF(Hypotheses!$B$100="proportionnel",MAX(0,AY19-AY20)/Hypotheses!$B$99,ROUNDUP(MAX(0,AY19-AY20)/Hypotheses!$B$99,0))</f>
        <v/>
      </c>
      <c r="AZ22" s="14">
        <f>IF(Hypotheses!$B$100="proportionnel",MAX(0,AZ19-AZ20)/Hypotheses!$B$99,ROUNDUP(MAX(0,AZ19-AZ20)/Hypotheses!$B$99,0))</f>
        <v/>
      </c>
      <c r="BA22" s="14">
        <f>IF(Hypotheses!$B$100="proportionnel",MAX(0,BA19-BA20)/Hypotheses!$B$99,ROUNDUP(MAX(0,BA19-BA20)/Hypotheses!$B$99,0))</f>
        <v/>
      </c>
      <c r="BB22" s="14">
        <f>IF(Hypotheses!$B$100="proportionnel",MAX(0,BB19-BB20)/Hypotheses!$B$99,ROUNDUP(MAX(0,BB19-BB20)/Hypotheses!$B$99,0))</f>
        <v/>
      </c>
      <c r="BC22" s="14">
        <f>IF(Hypotheses!$B$100="proportionnel",MAX(0,BC19-BC20)/Hypotheses!$B$99,ROUNDUP(MAX(0,BC19-BC20)/Hypotheses!$B$99,0))</f>
        <v/>
      </c>
      <c r="BD22" s="14">
        <f>IF(Hypotheses!$B$100="proportionnel",MAX(0,BD19-BD20)/Hypotheses!$B$99,ROUNDUP(MAX(0,BD19-BD20)/Hypotheses!$B$99,0))</f>
        <v/>
      </c>
      <c r="BE22" s="14">
        <f>IF(Hypotheses!$B$100="proportionnel",MAX(0,BE19-BE20)/Hypotheses!$B$99,ROUNDUP(MAX(0,BE19-BE20)/Hypotheses!$B$99,0))</f>
        <v/>
      </c>
      <c r="BF22" s="14">
        <f>IF(Hypotheses!$B$100="proportionnel",MAX(0,BF19-BF20)/Hypotheses!$B$99,ROUNDUP(MAX(0,BF19-BF20)/Hypotheses!$B$99,0))</f>
        <v/>
      </c>
      <c r="BG22" s="14">
        <f>IF(Hypotheses!$B$100="proportionnel",MAX(0,BG19-BG20)/Hypotheses!$B$99,ROUNDUP(MAX(0,BG19-BG20)/Hypotheses!$B$99,0))</f>
        <v/>
      </c>
      <c r="BH22" s="14">
        <f>IF(Hypotheses!$B$100="proportionnel",MAX(0,BH19-BH20)/Hypotheses!$B$99,ROUNDUP(MAX(0,BH19-BH20)/Hypotheses!$B$99,0))</f>
        <v/>
      </c>
      <c r="BI22" s="14">
        <f>IF(Hypotheses!$B$100="proportionnel",MAX(0,BI19-BI20)/Hypotheses!$B$99,ROUNDUP(MAX(0,BI19-BI20)/Hypotheses!$B$99,0))</f>
        <v/>
      </c>
      <c r="BJ22" s="14">
        <f>IF(Hypotheses!$B$100="proportionnel",MAX(0,BJ19-BJ20)/Hypotheses!$B$99,ROUNDUP(MAX(0,BJ19-BJ20)/Hypotheses!$B$99,0))</f>
        <v/>
      </c>
    </row>
    <row r="23">
      <c r="A23" s="28" t="inlineStr">
        <is>
          <t>CSM dédiés Enterprise</t>
        </is>
      </c>
      <c r="C23" s="14">
        <f>SUMIFS(Hypotheses!$D$114:$D$118,Hypotheses!$B$114:$B$118,"&lt;="&amp;C4,Hypotheses!$B$114:$B$118,"&gt;0")</f>
        <v/>
      </c>
      <c r="D23" s="14">
        <f>SUMIFS(Hypotheses!$D$114:$D$118,Hypotheses!$B$114:$B$118,"&lt;="&amp;D4,Hypotheses!$B$114:$B$118,"&gt;0")</f>
        <v/>
      </c>
      <c r="E23" s="14">
        <f>SUMIFS(Hypotheses!$D$114:$D$118,Hypotheses!$B$114:$B$118,"&lt;="&amp;E4,Hypotheses!$B$114:$B$118,"&gt;0")</f>
        <v/>
      </c>
      <c r="F23" s="14">
        <f>SUMIFS(Hypotheses!$D$114:$D$118,Hypotheses!$B$114:$B$118,"&lt;="&amp;F4,Hypotheses!$B$114:$B$118,"&gt;0")</f>
        <v/>
      </c>
      <c r="G23" s="14">
        <f>SUMIFS(Hypotheses!$D$114:$D$118,Hypotheses!$B$114:$B$118,"&lt;="&amp;G4,Hypotheses!$B$114:$B$118,"&gt;0")</f>
        <v/>
      </c>
      <c r="H23" s="14">
        <f>SUMIFS(Hypotheses!$D$114:$D$118,Hypotheses!$B$114:$B$118,"&lt;="&amp;H4,Hypotheses!$B$114:$B$118,"&gt;0")</f>
        <v/>
      </c>
      <c r="I23" s="14">
        <f>SUMIFS(Hypotheses!$D$114:$D$118,Hypotheses!$B$114:$B$118,"&lt;="&amp;I4,Hypotheses!$B$114:$B$118,"&gt;0")</f>
        <v/>
      </c>
      <c r="J23" s="14">
        <f>SUMIFS(Hypotheses!$D$114:$D$118,Hypotheses!$B$114:$B$118,"&lt;="&amp;J4,Hypotheses!$B$114:$B$118,"&gt;0")</f>
        <v/>
      </c>
      <c r="K23" s="14">
        <f>SUMIFS(Hypotheses!$D$114:$D$118,Hypotheses!$B$114:$B$118,"&lt;="&amp;K4,Hypotheses!$B$114:$B$118,"&gt;0")</f>
        <v/>
      </c>
      <c r="L23" s="14">
        <f>SUMIFS(Hypotheses!$D$114:$D$118,Hypotheses!$B$114:$B$118,"&lt;="&amp;L4,Hypotheses!$B$114:$B$118,"&gt;0")</f>
        <v/>
      </c>
      <c r="M23" s="14">
        <f>SUMIFS(Hypotheses!$D$114:$D$118,Hypotheses!$B$114:$B$118,"&lt;="&amp;M4,Hypotheses!$B$114:$B$118,"&gt;0")</f>
        <v/>
      </c>
      <c r="N23" s="14">
        <f>SUMIFS(Hypotheses!$D$114:$D$118,Hypotheses!$B$114:$B$118,"&lt;="&amp;N4,Hypotheses!$B$114:$B$118,"&gt;0")</f>
        <v/>
      </c>
      <c r="O23" s="14">
        <f>SUMIFS(Hypotheses!$D$114:$D$118,Hypotheses!$B$114:$B$118,"&lt;="&amp;O4,Hypotheses!$B$114:$B$118,"&gt;0")</f>
        <v/>
      </c>
      <c r="P23" s="14">
        <f>SUMIFS(Hypotheses!$D$114:$D$118,Hypotheses!$B$114:$B$118,"&lt;="&amp;P4,Hypotheses!$B$114:$B$118,"&gt;0")</f>
        <v/>
      </c>
      <c r="Q23" s="14">
        <f>SUMIFS(Hypotheses!$D$114:$D$118,Hypotheses!$B$114:$B$118,"&lt;="&amp;Q4,Hypotheses!$B$114:$B$118,"&gt;0")</f>
        <v/>
      </c>
      <c r="R23" s="14">
        <f>SUMIFS(Hypotheses!$D$114:$D$118,Hypotheses!$B$114:$B$118,"&lt;="&amp;R4,Hypotheses!$B$114:$B$118,"&gt;0")</f>
        <v/>
      </c>
      <c r="S23" s="14">
        <f>SUMIFS(Hypotheses!$D$114:$D$118,Hypotheses!$B$114:$B$118,"&lt;="&amp;S4,Hypotheses!$B$114:$B$118,"&gt;0")</f>
        <v/>
      </c>
      <c r="T23" s="14">
        <f>SUMIFS(Hypotheses!$D$114:$D$118,Hypotheses!$B$114:$B$118,"&lt;="&amp;T4,Hypotheses!$B$114:$B$118,"&gt;0")</f>
        <v/>
      </c>
      <c r="U23" s="14">
        <f>SUMIFS(Hypotheses!$D$114:$D$118,Hypotheses!$B$114:$B$118,"&lt;="&amp;U4,Hypotheses!$B$114:$B$118,"&gt;0")</f>
        <v/>
      </c>
      <c r="V23" s="14">
        <f>SUMIFS(Hypotheses!$D$114:$D$118,Hypotheses!$B$114:$B$118,"&lt;="&amp;V4,Hypotheses!$B$114:$B$118,"&gt;0")</f>
        <v/>
      </c>
      <c r="W23" s="14">
        <f>SUMIFS(Hypotheses!$D$114:$D$118,Hypotheses!$B$114:$B$118,"&lt;="&amp;W4,Hypotheses!$B$114:$B$118,"&gt;0")</f>
        <v/>
      </c>
      <c r="X23" s="14">
        <f>SUMIFS(Hypotheses!$D$114:$D$118,Hypotheses!$B$114:$B$118,"&lt;="&amp;X4,Hypotheses!$B$114:$B$118,"&gt;0")</f>
        <v/>
      </c>
      <c r="Y23" s="14">
        <f>SUMIFS(Hypotheses!$D$114:$D$118,Hypotheses!$B$114:$B$118,"&lt;="&amp;Y4,Hypotheses!$B$114:$B$118,"&gt;0")</f>
        <v/>
      </c>
      <c r="Z23" s="14">
        <f>SUMIFS(Hypotheses!$D$114:$D$118,Hypotheses!$B$114:$B$118,"&lt;="&amp;Z4,Hypotheses!$B$114:$B$118,"&gt;0")</f>
        <v/>
      </c>
      <c r="AA23" s="14">
        <f>SUMIFS(Hypotheses!$D$114:$D$118,Hypotheses!$B$114:$B$118,"&lt;="&amp;AA4,Hypotheses!$B$114:$B$118,"&gt;0")</f>
        <v/>
      </c>
      <c r="AB23" s="14">
        <f>SUMIFS(Hypotheses!$D$114:$D$118,Hypotheses!$B$114:$B$118,"&lt;="&amp;AB4,Hypotheses!$B$114:$B$118,"&gt;0")</f>
        <v/>
      </c>
      <c r="AC23" s="14">
        <f>SUMIFS(Hypotheses!$D$114:$D$118,Hypotheses!$B$114:$B$118,"&lt;="&amp;AC4,Hypotheses!$B$114:$B$118,"&gt;0")</f>
        <v/>
      </c>
      <c r="AD23" s="14">
        <f>SUMIFS(Hypotheses!$D$114:$D$118,Hypotheses!$B$114:$B$118,"&lt;="&amp;AD4,Hypotheses!$B$114:$B$118,"&gt;0")</f>
        <v/>
      </c>
      <c r="AE23" s="14">
        <f>SUMIFS(Hypotheses!$D$114:$D$118,Hypotheses!$B$114:$B$118,"&lt;="&amp;AE4,Hypotheses!$B$114:$B$118,"&gt;0")</f>
        <v/>
      </c>
      <c r="AF23" s="14">
        <f>SUMIFS(Hypotheses!$D$114:$D$118,Hypotheses!$B$114:$B$118,"&lt;="&amp;AF4,Hypotheses!$B$114:$B$118,"&gt;0")</f>
        <v/>
      </c>
      <c r="AG23" s="14">
        <f>SUMIFS(Hypotheses!$D$114:$D$118,Hypotheses!$B$114:$B$118,"&lt;="&amp;AG4,Hypotheses!$B$114:$B$118,"&gt;0")</f>
        <v/>
      </c>
      <c r="AH23" s="14">
        <f>SUMIFS(Hypotheses!$D$114:$D$118,Hypotheses!$B$114:$B$118,"&lt;="&amp;AH4,Hypotheses!$B$114:$B$118,"&gt;0")</f>
        <v/>
      </c>
      <c r="AI23" s="14">
        <f>SUMIFS(Hypotheses!$D$114:$D$118,Hypotheses!$B$114:$B$118,"&lt;="&amp;AI4,Hypotheses!$B$114:$B$118,"&gt;0")</f>
        <v/>
      </c>
      <c r="AJ23" s="14">
        <f>SUMIFS(Hypotheses!$D$114:$D$118,Hypotheses!$B$114:$B$118,"&lt;="&amp;AJ4,Hypotheses!$B$114:$B$118,"&gt;0")</f>
        <v/>
      </c>
      <c r="AK23" s="14">
        <f>SUMIFS(Hypotheses!$D$114:$D$118,Hypotheses!$B$114:$B$118,"&lt;="&amp;AK4,Hypotheses!$B$114:$B$118,"&gt;0")</f>
        <v/>
      </c>
      <c r="AL23" s="14">
        <f>SUMIFS(Hypotheses!$D$114:$D$118,Hypotheses!$B$114:$B$118,"&lt;="&amp;AL4,Hypotheses!$B$114:$B$118,"&gt;0")</f>
        <v/>
      </c>
      <c r="AM23" s="14">
        <f>SUMIFS(Hypotheses!$D$114:$D$118,Hypotheses!$B$114:$B$118,"&lt;="&amp;AM4,Hypotheses!$B$114:$B$118,"&gt;0")</f>
        <v/>
      </c>
      <c r="AN23" s="14">
        <f>SUMIFS(Hypotheses!$D$114:$D$118,Hypotheses!$B$114:$B$118,"&lt;="&amp;AN4,Hypotheses!$B$114:$B$118,"&gt;0")</f>
        <v/>
      </c>
      <c r="AO23" s="14">
        <f>SUMIFS(Hypotheses!$D$114:$D$118,Hypotheses!$B$114:$B$118,"&lt;="&amp;AO4,Hypotheses!$B$114:$B$118,"&gt;0")</f>
        <v/>
      </c>
      <c r="AP23" s="14">
        <f>SUMIFS(Hypotheses!$D$114:$D$118,Hypotheses!$B$114:$B$118,"&lt;="&amp;AP4,Hypotheses!$B$114:$B$118,"&gt;0")</f>
        <v/>
      </c>
      <c r="AQ23" s="14">
        <f>SUMIFS(Hypotheses!$D$114:$D$118,Hypotheses!$B$114:$B$118,"&lt;="&amp;AQ4,Hypotheses!$B$114:$B$118,"&gt;0")</f>
        <v/>
      </c>
      <c r="AR23" s="14">
        <f>SUMIFS(Hypotheses!$D$114:$D$118,Hypotheses!$B$114:$B$118,"&lt;="&amp;AR4,Hypotheses!$B$114:$B$118,"&gt;0")</f>
        <v/>
      </c>
      <c r="AS23" s="14">
        <f>SUMIFS(Hypotheses!$D$114:$D$118,Hypotheses!$B$114:$B$118,"&lt;="&amp;AS4,Hypotheses!$B$114:$B$118,"&gt;0")</f>
        <v/>
      </c>
      <c r="AT23" s="14">
        <f>SUMIFS(Hypotheses!$D$114:$D$118,Hypotheses!$B$114:$B$118,"&lt;="&amp;AT4,Hypotheses!$B$114:$B$118,"&gt;0")</f>
        <v/>
      </c>
      <c r="AU23" s="14">
        <f>SUMIFS(Hypotheses!$D$114:$D$118,Hypotheses!$B$114:$B$118,"&lt;="&amp;AU4,Hypotheses!$B$114:$B$118,"&gt;0")</f>
        <v/>
      </c>
      <c r="AV23" s="14">
        <f>SUMIFS(Hypotheses!$D$114:$D$118,Hypotheses!$B$114:$B$118,"&lt;="&amp;AV4,Hypotheses!$B$114:$B$118,"&gt;0")</f>
        <v/>
      </c>
      <c r="AW23" s="14">
        <f>SUMIFS(Hypotheses!$D$114:$D$118,Hypotheses!$B$114:$B$118,"&lt;="&amp;AW4,Hypotheses!$B$114:$B$118,"&gt;0")</f>
        <v/>
      </c>
      <c r="AX23" s="14">
        <f>SUMIFS(Hypotheses!$D$114:$D$118,Hypotheses!$B$114:$B$118,"&lt;="&amp;AX4,Hypotheses!$B$114:$B$118,"&gt;0")</f>
        <v/>
      </c>
      <c r="AY23" s="14">
        <f>SUMIFS(Hypotheses!$D$114:$D$118,Hypotheses!$B$114:$B$118,"&lt;="&amp;AY4,Hypotheses!$B$114:$B$118,"&gt;0")</f>
        <v/>
      </c>
      <c r="AZ23" s="14">
        <f>SUMIFS(Hypotheses!$D$114:$D$118,Hypotheses!$B$114:$B$118,"&lt;="&amp;AZ4,Hypotheses!$B$114:$B$118,"&gt;0")</f>
        <v/>
      </c>
      <c r="BA23" s="14">
        <f>SUMIFS(Hypotheses!$D$114:$D$118,Hypotheses!$B$114:$B$118,"&lt;="&amp;BA4,Hypotheses!$B$114:$B$118,"&gt;0")</f>
        <v/>
      </c>
      <c r="BB23" s="14">
        <f>SUMIFS(Hypotheses!$D$114:$D$118,Hypotheses!$B$114:$B$118,"&lt;="&amp;BB4,Hypotheses!$B$114:$B$118,"&gt;0")</f>
        <v/>
      </c>
      <c r="BC23" s="14">
        <f>SUMIFS(Hypotheses!$D$114:$D$118,Hypotheses!$B$114:$B$118,"&lt;="&amp;BC4,Hypotheses!$B$114:$B$118,"&gt;0")</f>
        <v/>
      </c>
      <c r="BD23" s="14">
        <f>SUMIFS(Hypotheses!$D$114:$D$118,Hypotheses!$B$114:$B$118,"&lt;="&amp;BD4,Hypotheses!$B$114:$B$118,"&gt;0")</f>
        <v/>
      </c>
      <c r="BE23" s="14">
        <f>SUMIFS(Hypotheses!$D$114:$D$118,Hypotheses!$B$114:$B$118,"&lt;="&amp;BE4,Hypotheses!$B$114:$B$118,"&gt;0")</f>
        <v/>
      </c>
      <c r="BF23" s="14">
        <f>SUMIFS(Hypotheses!$D$114:$D$118,Hypotheses!$B$114:$B$118,"&lt;="&amp;BF4,Hypotheses!$B$114:$B$118,"&gt;0")</f>
        <v/>
      </c>
      <c r="BG23" s="14">
        <f>SUMIFS(Hypotheses!$D$114:$D$118,Hypotheses!$B$114:$B$118,"&lt;="&amp;BG4,Hypotheses!$B$114:$B$118,"&gt;0")</f>
        <v/>
      </c>
      <c r="BH23" s="14">
        <f>SUMIFS(Hypotheses!$D$114:$D$118,Hypotheses!$B$114:$B$118,"&lt;="&amp;BH4,Hypotheses!$B$114:$B$118,"&gt;0")</f>
        <v/>
      </c>
      <c r="BI23" s="14">
        <f>SUMIFS(Hypotheses!$D$114:$D$118,Hypotheses!$B$114:$B$118,"&lt;="&amp;BI4,Hypotheses!$B$114:$B$118,"&gt;0")</f>
        <v/>
      </c>
      <c r="BJ23" s="14">
        <f>SUMIFS(Hypotheses!$D$114:$D$118,Hypotheses!$B$114:$B$118,"&lt;="&amp;BJ4,Hypotheses!$B$114:$B$118,"&gt;0")</f>
        <v/>
      </c>
    </row>
    <row r="24">
      <c r="A24" s="19" t="inlineStr">
        <is>
          <t>Compte de résultat (₩)</t>
        </is>
      </c>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c r="AN24" s="20" t="n"/>
      <c r="AO24" s="20" t="n"/>
      <c r="AP24" s="20" t="n"/>
      <c r="AQ24" s="20" t="n"/>
      <c r="AR24" s="20" t="n"/>
      <c r="AS24" s="20" t="n"/>
      <c r="AT24" s="20" t="n"/>
      <c r="AU24" s="20" t="n"/>
      <c r="AV24" s="20" t="n"/>
      <c r="AW24" s="20" t="n"/>
      <c r="AX24" s="20" t="n"/>
      <c r="AY24" s="20" t="n"/>
      <c r="AZ24" s="20" t="n"/>
      <c r="BA24" s="20" t="n"/>
      <c r="BB24" s="20" t="n"/>
      <c r="BC24" s="20" t="n"/>
      <c r="BD24" s="20" t="n"/>
      <c r="BE24" s="20" t="n"/>
      <c r="BF24" s="20" t="n"/>
      <c r="BG24" s="20" t="n"/>
      <c r="BH24" s="20" t="n"/>
      <c r="BI24" s="20" t="n"/>
      <c r="BJ24" s="20" t="n"/>
    </row>
    <row r="25">
      <c r="A25" s="28" t="inlineStr">
        <is>
          <t>Chiffre d'affaires HT</t>
        </is>
      </c>
      <c r="C25" s="21">
        <f>(C13*Hypotheses!$F$6+C14*Hypotheses!$F$7+C15*Hypotheses!$F$8+C16*Hypotheses!$F$9)*Hypotheses!$B$18</f>
        <v/>
      </c>
      <c r="D25" s="21">
        <f>(D13*Hypotheses!$F$6+D14*Hypotheses!$F$7+D15*Hypotheses!$F$8+D16*Hypotheses!$F$9)*Hypotheses!$B$18</f>
        <v/>
      </c>
      <c r="E25" s="21">
        <f>(E13*Hypotheses!$F$6+E14*Hypotheses!$F$7+E15*Hypotheses!$F$8+E16*Hypotheses!$F$9)*Hypotheses!$B$18</f>
        <v/>
      </c>
      <c r="F25" s="21">
        <f>(F13*Hypotheses!$F$6+F14*Hypotheses!$F$7+F15*Hypotheses!$F$8+F16*Hypotheses!$F$9)*Hypotheses!$B$18</f>
        <v/>
      </c>
      <c r="G25" s="21">
        <f>(G13*Hypotheses!$F$6+G14*Hypotheses!$F$7+G15*Hypotheses!$F$8+G16*Hypotheses!$F$9)*Hypotheses!$B$18</f>
        <v/>
      </c>
      <c r="H25" s="21">
        <f>(H13*Hypotheses!$F$6+H14*Hypotheses!$F$7+H15*Hypotheses!$F$8+H16*Hypotheses!$F$9)*Hypotheses!$B$18</f>
        <v/>
      </c>
      <c r="I25" s="21">
        <f>(I13*Hypotheses!$F$6+I14*Hypotheses!$F$7+I15*Hypotheses!$F$8+I16*Hypotheses!$F$9)*Hypotheses!$B$18</f>
        <v/>
      </c>
      <c r="J25" s="21">
        <f>(J13*Hypotheses!$F$6+J14*Hypotheses!$F$7+J15*Hypotheses!$F$8+J16*Hypotheses!$F$9)*Hypotheses!$B$18</f>
        <v/>
      </c>
      <c r="K25" s="21">
        <f>(K13*Hypotheses!$F$6+K14*Hypotheses!$F$7+K15*Hypotheses!$F$8+K16*Hypotheses!$F$9)*Hypotheses!$B$18</f>
        <v/>
      </c>
      <c r="L25" s="21">
        <f>(L13*Hypotheses!$F$6+L14*Hypotheses!$F$7+L15*Hypotheses!$F$8+L16*Hypotheses!$F$9)*Hypotheses!$B$18</f>
        <v/>
      </c>
      <c r="M25" s="21">
        <f>(M13*Hypotheses!$F$6+M14*Hypotheses!$F$7+M15*Hypotheses!$F$8+M16*Hypotheses!$F$9)*Hypotheses!$B$18</f>
        <v/>
      </c>
      <c r="N25" s="21">
        <f>(N13*Hypotheses!$F$6+N14*Hypotheses!$F$7+N15*Hypotheses!$F$8+N16*Hypotheses!$F$9)*Hypotheses!$B$18</f>
        <v/>
      </c>
      <c r="O25" s="21">
        <f>(O13*Hypotheses!$F$6+O14*Hypotheses!$F$7+O15*Hypotheses!$F$8+O16*Hypotheses!$F$9)*Hypotheses!$B$18</f>
        <v/>
      </c>
      <c r="P25" s="21">
        <f>(P13*Hypotheses!$F$6+P14*Hypotheses!$F$7+P15*Hypotheses!$F$8+P16*Hypotheses!$F$9)*Hypotheses!$B$18</f>
        <v/>
      </c>
      <c r="Q25" s="21">
        <f>(Q13*Hypotheses!$F$6+Q14*Hypotheses!$F$7+Q15*Hypotheses!$F$8+Q16*Hypotheses!$F$9)*Hypotheses!$B$18</f>
        <v/>
      </c>
      <c r="R25" s="21">
        <f>(R13*Hypotheses!$F$6+R14*Hypotheses!$F$7+R15*Hypotheses!$F$8+R16*Hypotheses!$F$9)*Hypotheses!$B$18</f>
        <v/>
      </c>
      <c r="S25" s="21">
        <f>(S13*Hypotheses!$F$6+S14*Hypotheses!$F$7+S15*Hypotheses!$F$8+S16*Hypotheses!$F$9)*Hypotheses!$B$18</f>
        <v/>
      </c>
      <c r="T25" s="21">
        <f>(T13*Hypotheses!$F$6+T14*Hypotheses!$F$7+T15*Hypotheses!$F$8+T16*Hypotheses!$F$9)*Hypotheses!$B$18</f>
        <v/>
      </c>
      <c r="U25" s="21">
        <f>(U13*Hypotheses!$F$6+U14*Hypotheses!$F$7+U15*Hypotheses!$F$8+U16*Hypotheses!$F$9)*Hypotheses!$B$18</f>
        <v/>
      </c>
      <c r="V25" s="21">
        <f>(V13*Hypotheses!$F$6+V14*Hypotheses!$F$7+V15*Hypotheses!$F$8+V16*Hypotheses!$F$9)*Hypotheses!$B$18</f>
        <v/>
      </c>
      <c r="W25" s="21">
        <f>(W13*Hypotheses!$F$6+W14*Hypotheses!$F$7+W15*Hypotheses!$F$8+W16*Hypotheses!$F$9)*Hypotheses!$B$18</f>
        <v/>
      </c>
      <c r="X25" s="21">
        <f>(X13*Hypotheses!$F$6+X14*Hypotheses!$F$7+X15*Hypotheses!$F$8+X16*Hypotheses!$F$9)*Hypotheses!$B$18</f>
        <v/>
      </c>
      <c r="Y25" s="21">
        <f>(Y13*Hypotheses!$F$6+Y14*Hypotheses!$F$7+Y15*Hypotheses!$F$8+Y16*Hypotheses!$F$9)*Hypotheses!$B$18</f>
        <v/>
      </c>
      <c r="Z25" s="21">
        <f>(Z13*Hypotheses!$F$6+Z14*Hypotheses!$F$7+Z15*Hypotheses!$F$8+Z16*Hypotheses!$F$9)*Hypotheses!$B$18</f>
        <v/>
      </c>
      <c r="AA25" s="21">
        <f>(AA13*Hypotheses!$F$6+AA14*Hypotheses!$F$7+AA15*Hypotheses!$F$8+AA16*Hypotheses!$F$9)*Hypotheses!$B$18</f>
        <v/>
      </c>
      <c r="AB25" s="21">
        <f>(AB13*Hypotheses!$F$6+AB14*Hypotheses!$F$7+AB15*Hypotheses!$F$8+AB16*Hypotheses!$F$9)*Hypotheses!$B$18</f>
        <v/>
      </c>
      <c r="AC25" s="21">
        <f>(AC13*Hypotheses!$F$6+AC14*Hypotheses!$F$7+AC15*Hypotheses!$F$8+AC16*Hypotheses!$F$9)*Hypotheses!$B$18</f>
        <v/>
      </c>
      <c r="AD25" s="21">
        <f>(AD13*Hypotheses!$F$6+AD14*Hypotheses!$F$7+AD15*Hypotheses!$F$8+AD16*Hypotheses!$F$9)*Hypotheses!$B$18</f>
        <v/>
      </c>
      <c r="AE25" s="21">
        <f>(AE13*Hypotheses!$F$6+AE14*Hypotheses!$F$7+AE15*Hypotheses!$F$8+AE16*Hypotheses!$F$9)*Hypotheses!$B$18</f>
        <v/>
      </c>
      <c r="AF25" s="21">
        <f>(AF13*Hypotheses!$F$6+AF14*Hypotheses!$F$7+AF15*Hypotheses!$F$8+AF16*Hypotheses!$F$9)*Hypotheses!$B$18</f>
        <v/>
      </c>
      <c r="AG25" s="21">
        <f>(AG13*Hypotheses!$F$6+AG14*Hypotheses!$F$7+AG15*Hypotheses!$F$8+AG16*Hypotheses!$F$9)*Hypotheses!$B$18</f>
        <v/>
      </c>
      <c r="AH25" s="21">
        <f>(AH13*Hypotheses!$F$6+AH14*Hypotheses!$F$7+AH15*Hypotheses!$F$8+AH16*Hypotheses!$F$9)*Hypotheses!$B$18</f>
        <v/>
      </c>
      <c r="AI25" s="21">
        <f>(AI13*Hypotheses!$F$6+AI14*Hypotheses!$F$7+AI15*Hypotheses!$F$8+AI16*Hypotheses!$F$9)*Hypotheses!$B$18</f>
        <v/>
      </c>
      <c r="AJ25" s="21">
        <f>(AJ13*Hypotheses!$F$6+AJ14*Hypotheses!$F$7+AJ15*Hypotheses!$F$8+AJ16*Hypotheses!$F$9)*Hypotheses!$B$18</f>
        <v/>
      </c>
      <c r="AK25" s="21">
        <f>(AK13*Hypotheses!$F$6+AK14*Hypotheses!$F$7+AK15*Hypotheses!$F$8+AK16*Hypotheses!$F$9)*Hypotheses!$B$18</f>
        <v/>
      </c>
      <c r="AL25" s="21">
        <f>(AL13*Hypotheses!$F$6+AL14*Hypotheses!$F$7+AL15*Hypotheses!$F$8+AL16*Hypotheses!$F$9)*Hypotheses!$B$18</f>
        <v/>
      </c>
      <c r="AM25" s="21">
        <f>(AM13*Hypotheses!$F$6+AM14*Hypotheses!$F$7+AM15*Hypotheses!$F$8+AM16*Hypotheses!$F$9)*Hypotheses!$B$18</f>
        <v/>
      </c>
      <c r="AN25" s="21">
        <f>(AN13*Hypotheses!$F$6+AN14*Hypotheses!$F$7+AN15*Hypotheses!$F$8+AN16*Hypotheses!$F$9)*Hypotheses!$B$18</f>
        <v/>
      </c>
      <c r="AO25" s="21">
        <f>(AO13*Hypotheses!$F$6+AO14*Hypotheses!$F$7+AO15*Hypotheses!$F$8+AO16*Hypotheses!$F$9)*Hypotheses!$B$18</f>
        <v/>
      </c>
      <c r="AP25" s="21">
        <f>(AP13*Hypotheses!$F$6+AP14*Hypotheses!$F$7+AP15*Hypotheses!$F$8+AP16*Hypotheses!$F$9)*Hypotheses!$B$18</f>
        <v/>
      </c>
      <c r="AQ25" s="21">
        <f>(AQ13*Hypotheses!$F$6+AQ14*Hypotheses!$F$7+AQ15*Hypotheses!$F$8+AQ16*Hypotheses!$F$9)*Hypotheses!$B$18</f>
        <v/>
      </c>
      <c r="AR25" s="21">
        <f>(AR13*Hypotheses!$F$6+AR14*Hypotheses!$F$7+AR15*Hypotheses!$F$8+AR16*Hypotheses!$F$9)*Hypotheses!$B$18</f>
        <v/>
      </c>
      <c r="AS25" s="21">
        <f>(AS13*Hypotheses!$F$6+AS14*Hypotheses!$F$7+AS15*Hypotheses!$F$8+AS16*Hypotheses!$F$9)*Hypotheses!$B$18</f>
        <v/>
      </c>
      <c r="AT25" s="21">
        <f>(AT13*Hypotheses!$F$6+AT14*Hypotheses!$F$7+AT15*Hypotheses!$F$8+AT16*Hypotheses!$F$9)*Hypotheses!$B$18</f>
        <v/>
      </c>
      <c r="AU25" s="21">
        <f>(AU13*Hypotheses!$F$6+AU14*Hypotheses!$F$7+AU15*Hypotheses!$F$8+AU16*Hypotheses!$F$9)*Hypotheses!$B$18</f>
        <v/>
      </c>
      <c r="AV25" s="21">
        <f>(AV13*Hypotheses!$F$6+AV14*Hypotheses!$F$7+AV15*Hypotheses!$F$8+AV16*Hypotheses!$F$9)*Hypotheses!$B$18</f>
        <v/>
      </c>
      <c r="AW25" s="21">
        <f>(AW13*Hypotheses!$F$6+AW14*Hypotheses!$F$7+AW15*Hypotheses!$F$8+AW16*Hypotheses!$F$9)*Hypotheses!$B$18</f>
        <v/>
      </c>
      <c r="AX25" s="21">
        <f>(AX13*Hypotheses!$F$6+AX14*Hypotheses!$F$7+AX15*Hypotheses!$F$8+AX16*Hypotheses!$F$9)*Hypotheses!$B$18</f>
        <v/>
      </c>
      <c r="AY25" s="21">
        <f>(AY13*Hypotheses!$F$6+AY14*Hypotheses!$F$7+AY15*Hypotheses!$F$8+AY16*Hypotheses!$F$9)*Hypotheses!$B$18</f>
        <v/>
      </c>
      <c r="AZ25" s="21">
        <f>(AZ13*Hypotheses!$F$6+AZ14*Hypotheses!$F$7+AZ15*Hypotheses!$F$8+AZ16*Hypotheses!$F$9)*Hypotheses!$B$18</f>
        <v/>
      </c>
      <c r="BA25" s="21">
        <f>(BA13*Hypotheses!$F$6+BA14*Hypotheses!$F$7+BA15*Hypotheses!$F$8+BA16*Hypotheses!$F$9)*Hypotheses!$B$18</f>
        <v/>
      </c>
      <c r="BB25" s="21">
        <f>(BB13*Hypotheses!$F$6+BB14*Hypotheses!$F$7+BB15*Hypotheses!$F$8+BB16*Hypotheses!$F$9)*Hypotheses!$B$18</f>
        <v/>
      </c>
      <c r="BC25" s="21">
        <f>(BC13*Hypotheses!$F$6+BC14*Hypotheses!$F$7+BC15*Hypotheses!$F$8+BC16*Hypotheses!$F$9)*Hypotheses!$B$18</f>
        <v/>
      </c>
      <c r="BD25" s="21">
        <f>(BD13*Hypotheses!$F$6+BD14*Hypotheses!$F$7+BD15*Hypotheses!$F$8+BD16*Hypotheses!$F$9)*Hypotheses!$B$18</f>
        <v/>
      </c>
      <c r="BE25" s="21">
        <f>(BE13*Hypotheses!$F$6+BE14*Hypotheses!$F$7+BE15*Hypotheses!$F$8+BE16*Hypotheses!$F$9)*Hypotheses!$B$18</f>
        <v/>
      </c>
      <c r="BF25" s="21">
        <f>(BF13*Hypotheses!$F$6+BF14*Hypotheses!$F$7+BF15*Hypotheses!$F$8+BF16*Hypotheses!$F$9)*Hypotheses!$B$18</f>
        <v/>
      </c>
      <c r="BG25" s="21">
        <f>(BG13*Hypotheses!$F$6+BG14*Hypotheses!$F$7+BG15*Hypotheses!$F$8+BG16*Hypotheses!$F$9)*Hypotheses!$B$18</f>
        <v/>
      </c>
      <c r="BH25" s="21">
        <f>(BH13*Hypotheses!$F$6+BH14*Hypotheses!$F$7+BH15*Hypotheses!$F$8+BH16*Hypotheses!$F$9)*Hypotheses!$B$18</f>
        <v/>
      </c>
      <c r="BI25" s="21">
        <f>(BI13*Hypotheses!$F$6+BI14*Hypotheses!$F$7+BI15*Hypotheses!$F$8+BI16*Hypotheses!$F$9)*Hypotheses!$B$18</f>
        <v/>
      </c>
      <c r="BJ25" s="21">
        <f>(BJ13*Hypotheses!$F$6+BJ14*Hypotheses!$F$7+BJ15*Hypotheses!$F$8+BJ16*Hypotheses!$F$9)*Hypotheses!$B$18</f>
        <v/>
      </c>
    </row>
    <row r="26">
      <c r="A26" s="28" t="inlineStr">
        <is>
          <t>Frais d'installation facturés (Enterprise)</t>
        </is>
      </c>
      <c r="C26" s="21">
        <f>C12*Hypotheses!$B$107</f>
        <v/>
      </c>
      <c r="D26" s="21">
        <f>D12*Hypotheses!$B$107</f>
        <v/>
      </c>
      <c r="E26" s="21">
        <f>E12*Hypotheses!$B$107</f>
        <v/>
      </c>
      <c r="F26" s="21">
        <f>F12*Hypotheses!$B$107</f>
        <v/>
      </c>
      <c r="G26" s="21">
        <f>G12*Hypotheses!$B$107</f>
        <v/>
      </c>
      <c r="H26" s="21">
        <f>H12*Hypotheses!$B$107</f>
        <v/>
      </c>
      <c r="I26" s="21">
        <f>I12*Hypotheses!$B$107</f>
        <v/>
      </c>
      <c r="J26" s="21">
        <f>J12*Hypotheses!$B$107</f>
        <v/>
      </c>
      <c r="K26" s="21">
        <f>K12*Hypotheses!$B$107</f>
        <v/>
      </c>
      <c r="L26" s="21">
        <f>L12*Hypotheses!$B$107</f>
        <v/>
      </c>
      <c r="M26" s="21">
        <f>M12*Hypotheses!$B$107</f>
        <v/>
      </c>
      <c r="N26" s="21">
        <f>N12*Hypotheses!$B$107</f>
        <v/>
      </c>
      <c r="O26" s="21">
        <f>O12*Hypotheses!$B$107</f>
        <v/>
      </c>
      <c r="P26" s="21">
        <f>P12*Hypotheses!$B$107</f>
        <v/>
      </c>
      <c r="Q26" s="21">
        <f>Q12*Hypotheses!$B$107</f>
        <v/>
      </c>
      <c r="R26" s="21">
        <f>R12*Hypotheses!$B$107</f>
        <v/>
      </c>
      <c r="S26" s="21">
        <f>S12*Hypotheses!$B$107</f>
        <v/>
      </c>
      <c r="T26" s="21">
        <f>T12*Hypotheses!$B$107</f>
        <v/>
      </c>
      <c r="U26" s="21">
        <f>U12*Hypotheses!$B$107</f>
        <v/>
      </c>
      <c r="V26" s="21">
        <f>V12*Hypotheses!$B$107</f>
        <v/>
      </c>
      <c r="W26" s="21">
        <f>W12*Hypotheses!$B$107</f>
        <v/>
      </c>
      <c r="X26" s="21">
        <f>X12*Hypotheses!$B$107</f>
        <v/>
      </c>
      <c r="Y26" s="21">
        <f>Y12*Hypotheses!$B$107</f>
        <v/>
      </c>
      <c r="Z26" s="21">
        <f>Z12*Hypotheses!$B$107</f>
        <v/>
      </c>
      <c r="AA26" s="21">
        <f>AA12*Hypotheses!$B$107</f>
        <v/>
      </c>
      <c r="AB26" s="21">
        <f>AB12*Hypotheses!$B$107</f>
        <v/>
      </c>
      <c r="AC26" s="21">
        <f>AC12*Hypotheses!$B$107</f>
        <v/>
      </c>
      <c r="AD26" s="21">
        <f>AD12*Hypotheses!$B$107</f>
        <v/>
      </c>
      <c r="AE26" s="21">
        <f>AE12*Hypotheses!$B$107</f>
        <v/>
      </c>
      <c r="AF26" s="21">
        <f>AF12*Hypotheses!$B$107</f>
        <v/>
      </c>
      <c r="AG26" s="21">
        <f>AG12*Hypotheses!$B$107</f>
        <v/>
      </c>
      <c r="AH26" s="21">
        <f>AH12*Hypotheses!$B$107</f>
        <v/>
      </c>
      <c r="AI26" s="21">
        <f>AI12*Hypotheses!$B$107</f>
        <v/>
      </c>
      <c r="AJ26" s="21">
        <f>AJ12*Hypotheses!$B$107</f>
        <v/>
      </c>
      <c r="AK26" s="21">
        <f>AK12*Hypotheses!$B$107</f>
        <v/>
      </c>
      <c r="AL26" s="21">
        <f>AL12*Hypotheses!$B$107</f>
        <v/>
      </c>
      <c r="AM26" s="21">
        <f>AM12*Hypotheses!$B$107</f>
        <v/>
      </c>
      <c r="AN26" s="21">
        <f>AN12*Hypotheses!$B$107</f>
        <v/>
      </c>
      <c r="AO26" s="21">
        <f>AO12*Hypotheses!$B$107</f>
        <v/>
      </c>
      <c r="AP26" s="21">
        <f>AP12*Hypotheses!$B$107</f>
        <v/>
      </c>
      <c r="AQ26" s="21">
        <f>AQ12*Hypotheses!$B$107</f>
        <v/>
      </c>
      <c r="AR26" s="21">
        <f>AR12*Hypotheses!$B$107</f>
        <v/>
      </c>
      <c r="AS26" s="21">
        <f>AS12*Hypotheses!$B$107</f>
        <v/>
      </c>
      <c r="AT26" s="21">
        <f>AT12*Hypotheses!$B$107</f>
        <v/>
      </c>
      <c r="AU26" s="21">
        <f>AU12*Hypotheses!$B$107</f>
        <v/>
      </c>
      <c r="AV26" s="21">
        <f>AV12*Hypotheses!$B$107</f>
        <v/>
      </c>
      <c r="AW26" s="21">
        <f>AW12*Hypotheses!$B$107</f>
        <v/>
      </c>
      <c r="AX26" s="21">
        <f>AX12*Hypotheses!$B$107</f>
        <v/>
      </c>
      <c r="AY26" s="21">
        <f>AY12*Hypotheses!$B$107</f>
        <v/>
      </c>
      <c r="AZ26" s="21">
        <f>AZ12*Hypotheses!$B$107</f>
        <v/>
      </c>
      <c r="BA26" s="21">
        <f>BA12*Hypotheses!$B$107</f>
        <v/>
      </c>
      <c r="BB26" s="21">
        <f>BB12*Hypotheses!$B$107</f>
        <v/>
      </c>
      <c r="BC26" s="21">
        <f>BC12*Hypotheses!$B$107</f>
        <v/>
      </c>
      <c r="BD26" s="21">
        <f>BD12*Hypotheses!$B$107</f>
        <v/>
      </c>
      <c r="BE26" s="21">
        <f>BE12*Hypotheses!$B$107</f>
        <v/>
      </c>
      <c r="BF26" s="21">
        <f>BF12*Hypotheses!$B$107</f>
        <v/>
      </c>
      <c r="BG26" s="21">
        <f>BG12*Hypotheses!$B$107</f>
        <v/>
      </c>
      <c r="BH26" s="21">
        <f>BH12*Hypotheses!$B$107</f>
        <v/>
      </c>
      <c r="BI26" s="21">
        <f>BI12*Hypotheses!$B$107</f>
        <v/>
      </c>
      <c r="BJ26" s="21">
        <f>BJ12*Hypotheses!$B$107</f>
        <v/>
      </c>
    </row>
    <row r="27">
      <c r="A27" s="28" t="inlineStr">
        <is>
          <t>(−) Frais de paiement</t>
        </is>
      </c>
      <c r="C27" s="21">
        <f>-C25*Hypotheses!$B$17</f>
        <v/>
      </c>
      <c r="D27" s="21">
        <f>-D25*Hypotheses!$B$17</f>
        <v/>
      </c>
      <c r="E27" s="21">
        <f>-E25*Hypotheses!$B$17</f>
        <v/>
      </c>
      <c r="F27" s="21">
        <f>-F25*Hypotheses!$B$17</f>
        <v/>
      </c>
      <c r="G27" s="21">
        <f>-G25*Hypotheses!$B$17</f>
        <v/>
      </c>
      <c r="H27" s="21">
        <f>-H25*Hypotheses!$B$17</f>
        <v/>
      </c>
      <c r="I27" s="21">
        <f>-I25*Hypotheses!$B$17</f>
        <v/>
      </c>
      <c r="J27" s="21">
        <f>-J25*Hypotheses!$B$17</f>
        <v/>
      </c>
      <c r="K27" s="21">
        <f>-K25*Hypotheses!$B$17</f>
        <v/>
      </c>
      <c r="L27" s="21">
        <f>-L25*Hypotheses!$B$17</f>
        <v/>
      </c>
      <c r="M27" s="21">
        <f>-M25*Hypotheses!$B$17</f>
        <v/>
      </c>
      <c r="N27" s="21">
        <f>-N25*Hypotheses!$B$17</f>
        <v/>
      </c>
      <c r="O27" s="21">
        <f>-O25*Hypotheses!$B$17</f>
        <v/>
      </c>
      <c r="P27" s="21">
        <f>-P25*Hypotheses!$B$17</f>
        <v/>
      </c>
      <c r="Q27" s="21">
        <f>-Q25*Hypotheses!$B$17</f>
        <v/>
      </c>
      <c r="R27" s="21">
        <f>-R25*Hypotheses!$B$17</f>
        <v/>
      </c>
      <c r="S27" s="21">
        <f>-S25*Hypotheses!$B$17</f>
        <v/>
      </c>
      <c r="T27" s="21">
        <f>-T25*Hypotheses!$B$17</f>
        <v/>
      </c>
      <c r="U27" s="21">
        <f>-U25*Hypotheses!$B$17</f>
        <v/>
      </c>
      <c r="V27" s="21">
        <f>-V25*Hypotheses!$B$17</f>
        <v/>
      </c>
      <c r="W27" s="21">
        <f>-W25*Hypotheses!$B$17</f>
        <v/>
      </c>
      <c r="X27" s="21">
        <f>-X25*Hypotheses!$B$17</f>
        <v/>
      </c>
      <c r="Y27" s="21">
        <f>-Y25*Hypotheses!$B$17</f>
        <v/>
      </c>
      <c r="Z27" s="21">
        <f>-Z25*Hypotheses!$B$17</f>
        <v/>
      </c>
      <c r="AA27" s="21">
        <f>-AA25*Hypotheses!$B$17</f>
        <v/>
      </c>
      <c r="AB27" s="21">
        <f>-AB25*Hypotheses!$B$17</f>
        <v/>
      </c>
      <c r="AC27" s="21">
        <f>-AC25*Hypotheses!$B$17</f>
        <v/>
      </c>
      <c r="AD27" s="21">
        <f>-AD25*Hypotheses!$B$17</f>
        <v/>
      </c>
      <c r="AE27" s="21">
        <f>-AE25*Hypotheses!$B$17</f>
        <v/>
      </c>
      <c r="AF27" s="21">
        <f>-AF25*Hypotheses!$B$17</f>
        <v/>
      </c>
      <c r="AG27" s="21">
        <f>-AG25*Hypotheses!$B$17</f>
        <v/>
      </c>
      <c r="AH27" s="21">
        <f>-AH25*Hypotheses!$B$17</f>
        <v/>
      </c>
      <c r="AI27" s="21">
        <f>-AI25*Hypotheses!$B$17</f>
        <v/>
      </c>
      <c r="AJ27" s="21">
        <f>-AJ25*Hypotheses!$B$17</f>
        <v/>
      </c>
      <c r="AK27" s="21">
        <f>-AK25*Hypotheses!$B$17</f>
        <v/>
      </c>
      <c r="AL27" s="21">
        <f>-AL25*Hypotheses!$B$17</f>
        <v/>
      </c>
      <c r="AM27" s="21">
        <f>-AM25*Hypotheses!$B$17</f>
        <v/>
      </c>
      <c r="AN27" s="21">
        <f>-AN25*Hypotheses!$B$17</f>
        <v/>
      </c>
      <c r="AO27" s="21">
        <f>-AO25*Hypotheses!$B$17</f>
        <v/>
      </c>
      <c r="AP27" s="21">
        <f>-AP25*Hypotheses!$B$17</f>
        <v/>
      </c>
      <c r="AQ27" s="21">
        <f>-AQ25*Hypotheses!$B$17</f>
        <v/>
      </c>
      <c r="AR27" s="21">
        <f>-AR25*Hypotheses!$B$17</f>
        <v/>
      </c>
      <c r="AS27" s="21">
        <f>-AS25*Hypotheses!$B$17</f>
        <v/>
      </c>
      <c r="AT27" s="21">
        <f>-AT25*Hypotheses!$B$17</f>
        <v/>
      </c>
      <c r="AU27" s="21">
        <f>-AU25*Hypotheses!$B$17</f>
        <v/>
      </c>
      <c r="AV27" s="21">
        <f>-AV25*Hypotheses!$B$17</f>
        <v/>
      </c>
      <c r="AW27" s="21">
        <f>-AW25*Hypotheses!$B$17</f>
        <v/>
      </c>
      <c r="AX27" s="21">
        <f>-AX25*Hypotheses!$B$17</f>
        <v/>
      </c>
      <c r="AY27" s="21">
        <f>-AY25*Hypotheses!$B$17</f>
        <v/>
      </c>
      <c r="AZ27" s="21">
        <f>-AZ25*Hypotheses!$B$17</f>
        <v/>
      </c>
      <c r="BA27" s="21">
        <f>-BA25*Hypotheses!$B$17</f>
        <v/>
      </c>
      <c r="BB27" s="21">
        <f>-BB25*Hypotheses!$B$17</f>
        <v/>
      </c>
      <c r="BC27" s="21">
        <f>-BC25*Hypotheses!$B$17</f>
        <v/>
      </c>
      <c r="BD27" s="21">
        <f>-BD25*Hypotheses!$B$17</f>
        <v/>
      </c>
      <c r="BE27" s="21">
        <f>-BE25*Hypotheses!$B$17</f>
        <v/>
      </c>
      <c r="BF27" s="21">
        <f>-BF25*Hypotheses!$B$17</f>
        <v/>
      </c>
      <c r="BG27" s="21">
        <f>-BG25*Hypotheses!$B$17</f>
        <v/>
      </c>
      <c r="BH27" s="21">
        <f>-BH25*Hypotheses!$B$17</f>
        <v/>
      </c>
      <c r="BI27" s="21">
        <f>-BI25*Hypotheses!$B$17</f>
        <v/>
      </c>
      <c r="BJ27" s="21">
        <f>-BJ25*Hypotheses!$B$17</f>
        <v/>
      </c>
    </row>
    <row r="28">
      <c r="A28" s="28" t="inlineStr">
        <is>
          <t>(−) Coûts variables par siège (IA comprise)</t>
        </is>
      </c>
      <c r="C28" s="21">
        <f>-(C13*Hypotheses!$B$24+C14*Hypotheses!$C$24+C15*Hypotheses!$D$24+C16*Hypotheses!$E$24)</f>
        <v/>
      </c>
      <c r="D28" s="21">
        <f>-(D13*Hypotheses!$B$24+D14*Hypotheses!$C$24+D15*Hypotheses!$D$24+D16*Hypotheses!$E$24)</f>
        <v/>
      </c>
      <c r="E28" s="21">
        <f>-(E13*Hypotheses!$B$24+E14*Hypotheses!$C$24+E15*Hypotheses!$D$24+E16*Hypotheses!$E$24)</f>
        <v/>
      </c>
      <c r="F28" s="21">
        <f>-(F13*Hypotheses!$B$24+F14*Hypotheses!$C$24+F15*Hypotheses!$D$24+F16*Hypotheses!$E$24)</f>
        <v/>
      </c>
      <c r="G28" s="21">
        <f>-(G13*Hypotheses!$B$24+G14*Hypotheses!$C$24+G15*Hypotheses!$D$24+G16*Hypotheses!$E$24)</f>
        <v/>
      </c>
      <c r="H28" s="21">
        <f>-(H13*Hypotheses!$B$24+H14*Hypotheses!$C$24+H15*Hypotheses!$D$24+H16*Hypotheses!$E$24)</f>
        <v/>
      </c>
      <c r="I28" s="21">
        <f>-(I13*Hypotheses!$B$24+I14*Hypotheses!$C$24+I15*Hypotheses!$D$24+I16*Hypotheses!$E$24)</f>
        <v/>
      </c>
      <c r="J28" s="21">
        <f>-(J13*Hypotheses!$B$24+J14*Hypotheses!$C$24+J15*Hypotheses!$D$24+J16*Hypotheses!$E$24)</f>
        <v/>
      </c>
      <c r="K28" s="21">
        <f>-(K13*Hypotheses!$B$24+K14*Hypotheses!$C$24+K15*Hypotheses!$D$24+K16*Hypotheses!$E$24)</f>
        <v/>
      </c>
      <c r="L28" s="21">
        <f>-(L13*Hypotheses!$B$24+L14*Hypotheses!$C$24+L15*Hypotheses!$D$24+L16*Hypotheses!$E$24)</f>
        <v/>
      </c>
      <c r="M28" s="21">
        <f>-(M13*Hypotheses!$B$24+M14*Hypotheses!$C$24+M15*Hypotheses!$D$24+M16*Hypotheses!$E$24)</f>
        <v/>
      </c>
      <c r="N28" s="21">
        <f>-(N13*Hypotheses!$B$24+N14*Hypotheses!$C$24+N15*Hypotheses!$D$24+N16*Hypotheses!$E$24)</f>
        <v/>
      </c>
      <c r="O28" s="21">
        <f>-(O13*Hypotheses!$B$24+O14*Hypotheses!$C$24+O15*Hypotheses!$D$24+O16*Hypotheses!$E$24)</f>
        <v/>
      </c>
      <c r="P28" s="21">
        <f>-(P13*Hypotheses!$B$24+P14*Hypotheses!$C$24+P15*Hypotheses!$D$24+P16*Hypotheses!$E$24)</f>
        <v/>
      </c>
      <c r="Q28" s="21">
        <f>-(Q13*Hypotheses!$B$24+Q14*Hypotheses!$C$24+Q15*Hypotheses!$D$24+Q16*Hypotheses!$E$24)</f>
        <v/>
      </c>
      <c r="R28" s="21">
        <f>-(R13*Hypotheses!$B$24+R14*Hypotheses!$C$24+R15*Hypotheses!$D$24+R16*Hypotheses!$E$24)</f>
        <v/>
      </c>
      <c r="S28" s="21">
        <f>-(S13*Hypotheses!$B$24+S14*Hypotheses!$C$24+S15*Hypotheses!$D$24+S16*Hypotheses!$E$24)</f>
        <v/>
      </c>
      <c r="T28" s="21">
        <f>-(T13*Hypotheses!$B$24+T14*Hypotheses!$C$24+T15*Hypotheses!$D$24+T16*Hypotheses!$E$24)</f>
        <v/>
      </c>
      <c r="U28" s="21">
        <f>-(U13*Hypotheses!$B$24+U14*Hypotheses!$C$24+U15*Hypotheses!$D$24+U16*Hypotheses!$E$24)</f>
        <v/>
      </c>
      <c r="V28" s="21">
        <f>-(V13*Hypotheses!$B$24+V14*Hypotheses!$C$24+V15*Hypotheses!$D$24+V16*Hypotheses!$E$24)</f>
        <v/>
      </c>
      <c r="W28" s="21">
        <f>-(W13*Hypotheses!$B$24+W14*Hypotheses!$C$24+W15*Hypotheses!$D$24+W16*Hypotheses!$E$24)</f>
        <v/>
      </c>
      <c r="X28" s="21">
        <f>-(X13*Hypotheses!$B$24+X14*Hypotheses!$C$24+X15*Hypotheses!$D$24+X16*Hypotheses!$E$24)</f>
        <v/>
      </c>
      <c r="Y28" s="21">
        <f>-(Y13*Hypotheses!$B$24+Y14*Hypotheses!$C$24+Y15*Hypotheses!$D$24+Y16*Hypotheses!$E$24)</f>
        <v/>
      </c>
      <c r="Z28" s="21">
        <f>-(Z13*Hypotheses!$B$24+Z14*Hypotheses!$C$24+Z15*Hypotheses!$D$24+Z16*Hypotheses!$E$24)</f>
        <v/>
      </c>
      <c r="AA28" s="21">
        <f>-(AA13*Hypotheses!$B$24+AA14*Hypotheses!$C$24+AA15*Hypotheses!$D$24+AA16*Hypotheses!$E$24)</f>
        <v/>
      </c>
      <c r="AB28" s="21">
        <f>-(AB13*Hypotheses!$B$24+AB14*Hypotheses!$C$24+AB15*Hypotheses!$D$24+AB16*Hypotheses!$E$24)</f>
        <v/>
      </c>
      <c r="AC28" s="21">
        <f>-(AC13*Hypotheses!$B$24+AC14*Hypotheses!$C$24+AC15*Hypotheses!$D$24+AC16*Hypotheses!$E$24)</f>
        <v/>
      </c>
      <c r="AD28" s="21">
        <f>-(AD13*Hypotheses!$B$24+AD14*Hypotheses!$C$24+AD15*Hypotheses!$D$24+AD16*Hypotheses!$E$24)</f>
        <v/>
      </c>
      <c r="AE28" s="21">
        <f>-(AE13*Hypotheses!$B$24+AE14*Hypotheses!$C$24+AE15*Hypotheses!$D$24+AE16*Hypotheses!$E$24)</f>
        <v/>
      </c>
      <c r="AF28" s="21">
        <f>-(AF13*Hypotheses!$B$24+AF14*Hypotheses!$C$24+AF15*Hypotheses!$D$24+AF16*Hypotheses!$E$24)</f>
        <v/>
      </c>
      <c r="AG28" s="21">
        <f>-(AG13*Hypotheses!$B$24+AG14*Hypotheses!$C$24+AG15*Hypotheses!$D$24+AG16*Hypotheses!$E$24)</f>
        <v/>
      </c>
      <c r="AH28" s="21">
        <f>-(AH13*Hypotheses!$B$24+AH14*Hypotheses!$C$24+AH15*Hypotheses!$D$24+AH16*Hypotheses!$E$24)</f>
        <v/>
      </c>
      <c r="AI28" s="21">
        <f>-(AI13*Hypotheses!$B$24+AI14*Hypotheses!$C$24+AI15*Hypotheses!$D$24+AI16*Hypotheses!$E$24)</f>
        <v/>
      </c>
      <c r="AJ28" s="21">
        <f>-(AJ13*Hypotheses!$B$24+AJ14*Hypotheses!$C$24+AJ15*Hypotheses!$D$24+AJ16*Hypotheses!$E$24)</f>
        <v/>
      </c>
      <c r="AK28" s="21">
        <f>-(AK13*Hypotheses!$B$24+AK14*Hypotheses!$C$24+AK15*Hypotheses!$D$24+AK16*Hypotheses!$E$24)</f>
        <v/>
      </c>
      <c r="AL28" s="21">
        <f>-(AL13*Hypotheses!$B$24+AL14*Hypotheses!$C$24+AL15*Hypotheses!$D$24+AL16*Hypotheses!$E$24)</f>
        <v/>
      </c>
      <c r="AM28" s="21">
        <f>-(AM13*Hypotheses!$B$24+AM14*Hypotheses!$C$24+AM15*Hypotheses!$D$24+AM16*Hypotheses!$E$24)</f>
        <v/>
      </c>
      <c r="AN28" s="21">
        <f>-(AN13*Hypotheses!$B$24+AN14*Hypotheses!$C$24+AN15*Hypotheses!$D$24+AN16*Hypotheses!$E$24)</f>
        <v/>
      </c>
      <c r="AO28" s="21">
        <f>-(AO13*Hypotheses!$B$24+AO14*Hypotheses!$C$24+AO15*Hypotheses!$D$24+AO16*Hypotheses!$E$24)</f>
        <v/>
      </c>
      <c r="AP28" s="21">
        <f>-(AP13*Hypotheses!$B$24+AP14*Hypotheses!$C$24+AP15*Hypotheses!$D$24+AP16*Hypotheses!$E$24)</f>
        <v/>
      </c>
      <c r="AQ28" s="21">
        <f>-(AQ13*Hypotheses!$B$24+AQ14*Hypotheses!$C$24+AQ15*Hypotheses!$D$24+AQ16*Hypotheses!$E$24)</f>
        <v/>
      </c>
      <c r="AR28" s="21">
        <f>-(AR13*Hypotheses!$B$24+AR14*Hypotheses!$C$24+AR15*Hypotheses!$D$24+AR16*Hypotheses!$E$24)</f>
        <v/>
      </c>
      <c r="AS28" s="21">
        <f>-(AS13*Hypotheses!$B$24+AS14*Hypotheses!$C$24+AS15*Hypotheses!$D$24+AS16*Hypotheses!$E$24)</f>
        <v/>
      </c>
      <c r="AT28" s="21">
        <f>-(AT13*Hypotheses!$B$24+AT14*Hypotheses!$C$24+AT15*Hypotheses!$D$24+AT16*Hypotheses!$E$24)</f>
        <v/>
      </c>
      <c r="AU28" s="21">
        <f>-(AU13*Hypotheses!$B$24+AU14*Hypotheses!$C$24+AU15*Hypotheses!$D$24+AU16*Hypotheses!$E$24)</f>
        <v/>
      </c>
      <c r="AV28" s="21">
        <f>-(AV13*Hypotheses!$B$24+AV14*Hypotheses!$C$24+AV15*Hypotheses!$D$24+AV16*Hypotheses!$E$24)</f>
        <v/>
      </c>
      <c r="AW28" s="21">
        <f>-(AW13*Hypotheses!$B$24+AW14*Hypotheses!$C$24+AW15*Hypotheses!$D$24+AW16*Hypotheses!$E$24)</f>
        <v/>
      </c>
      <c r="AX28" s="21">
        <f>-(AX13*Hypotheses!$B$24+AX14*Hypotheses!$C$24+AX15*Hypotheses!$D$24+AX16*Hypotheses!$E$24)</f>
        <v/>
      </c>
      <c r="AY28" s="21">
        <f>-(AY13*Hypotheses!$B$24+AY14*Hypotheses!$C$24+AY15*Hypotheses!$D$24+AY16*Hypotheses!$E$24)</f>
        <v/>
      </c>
      <c r="AZ28" s="21">
        <f>-(AZ13*Hypotheses!$B$24+AZ14*Hypotheses!$C$24+AZ15*Hypotheses!$D$24+AZ16*Hypotheses!$E$24)</f>
        <v/>
      </c>
      <c r="BA28" s="21">
        <f>-(BA13*Hypotheses!$B$24+BA14*Hypotheses!$C$24+BA15*Hypotheses!$D$24+BA16*Hypotheses!$E$24)</f>
        <v/>
      </c>
      <c r="BB28" s="21">
        <f>-(BB13*Hypotheses!$B$24+BB14*Hypotheses!$C$24+BB15*Hypotheses!$D$24+BB16*Hypotheses!$E$24)</f>
        <v/>
      </c>
      <c r="BC28" s="21">
        <f>-(BC13*Hypotheses!$B$24+BC14*Hypotheses!$C$24+BC15*Hypotheses!$D$24+BC16*Hypotheses!$E$24)</f>
        <v/>
      </c>
      <c r="BD28" s="21">
        <f>-(BD13*Hypotheses!$B$24+BD14*Hypotheses!$C$24+BD15*Hypotheses!$D$24+BD16*Hypotheses!$E$24)</f>
        <v/>
      </c>
      <c r="BE28" s="21">
        <f>-(BE13*Hypotheses!$B$24+BE14*Hypotheses!$C$24+BE15*Hypotheses!$D$24+BE16*Hypotheses!$E$24)</f>
        <v/>
      </c>
      <c r="BF28" s="21">
        <f>-(BF13*Hypotheses!$B$24+BF14*Hypotheses!$C$24+BF15*Hypotheses!$D$24+BF16*Hypotheses!$E$24)</f>
        <v/>
      </c>
      <c r="BG28" s="21">
        <f>-(BG13*Hypotheses!$B$24+BG14*Hypotheses!$C$24+BG15*Hypotheses!$D$24+BG16*Hypotheses!$E$24)</f>
        <v/>
      </c>
      <c r="BH28" s="21">
        <f>-(BH13*Hypotheses!$B$24+BH14*Hypotheses!$C$24+BH15*Hypotheses!$D$24+BH16*Hypotheses!$E$24)</f>
        <v/>
      </c>
      <c r="BI28" s="21">
        <f>-(BI13*Hypotheses!$B$24+BI14*Hypotheses!$C$24+BI15*Hypotheses!$D$24+BI16*Hypotheses!$E$24)</f>
        <v/>
      </c>
      <c r="BJ28" s="21">
        <f>-(BJ13*Hypotheses!$B$24+BJ14*Hypotheses!$C$24+BJ15*Hypotheses!$D$24+BJ16*Hypotheses!$E$24)</f>
        <v/>
      </c>
    </row>
    <row r="29">
      <c r="A29" s="8" t="inlineStr">
        <is>
          <t>→ Marge sur coûts variables</t>
        </is>
      </c>
      <c r="C29" s="11">
        <f>C25+C26+C27+C28</f>
        <v/>
      </c>
      <c r="D29" s="11">
        <f>D25+D26+D27+D28</f>
        <v/>
      </c>
      <c r="E29" s="11">
        <f>E25+E26+E27+E28</f>
        <v/>
      </c>
      <c r="F29" s="11">
        <f>F25+F26+F27+F28</f>
        <v/>
      </c>
      <c r="G29" s="11">
        <f>G25+G26+G27+G28</f>
        <v/>
      </c>
      <c r="H29" s="11">
        <f>H25+H26+H27+H28</f>
        <v/>
      </c>
      <c r="I29" s="11">
        <f>I25+I26+I27+I28</f>
        <v/>
      </c>
      <c r="J29" s="11">
        <f>J25+J26+J27+J28</f>
        <v/>
      </c>
      <c r="K29" s="11">
        <f>K25+K26+K27+K28</f>
        <v/>
      </c>
      <c r="L29" s="11">
        <f>L25+L26+L27+L28</f>
        <v/>
      </c>
      <c r="M29" s="11">
        <f>M25+M26+M27+M28</f>
        <v/>
      </c>
      <c r="N29" s="11">
        <f>N25+N26+N27+N28</f>
        <v/>
      </c>
      <c r="O29" s="11">
        <f>O25+O26+O27+O28</f>
        <v/>
      </c>
      <c r="P29" s="11">
        <f>P25+P26+P27+P28</f>
        <v/>
      </c>
      <c r="Q29" s="11">
        <f>Q25+Q26+Q27+Q28</f>
        <v/>
      </c>
      <c r="R29" s="11">
        <f>R25+R26+R27+R28</f>
        <v/>
      </c>
      <c r="S29" s="11">
        <f>S25+S26+S27+S28</f>
        <v/>
      </c>
      <c r="T29" s="11">
        <f>T25+T26+T27+T28</f>
        <v/>
      </c>
      <c r="U29" s="11">
        <f>U25+U26+U27+U28</f>
        <v/>
      </c>
      <c r="V29" s="11">
        <f>V25+V26+V27+V28</f>
        <v/>
      </c>
      <c r="W29" s="11">
        <f>W25+W26+W27+W28</f>
        <v/>
      </c>
      <c r="X29" s="11">
        <f>X25+X26+X27+X28</f>
        <v/>
      </c>
      <c r="Y29" s="11">
        <f>Y25+Y26+Y27+Y28</f>
        <v/>
      </c>
      <c r="Z29" s="11">
        <f>Z25+Z26+Z27+Z28</f>
        <v/>
      </c>
      <c r="AA29" s="11">
        <f>AA25+AA26+AA27+AA28</f>
        <v/>
      </c>
      <c r="AB29" s="11">
        <f>AB25+AB26+AB27+AB28</f>
        <v/>
      </c>
      <c r="AC29" s="11">
        <f>AC25+AC26+AC27+AC28</f>
        <v/>
      </c>
      <c r="AD29" s="11">
        <f>AD25+AD26+AD27+AD28</f>
        <v/>
      </c>
      <c r="AE29" s="11">
        <f>AE25+AE26+AE27+AE28</f>
        <v/>
      </c>
      <c r="AF29" s="11">
        <f>AF25+AF26+AF27+AF28</f>
        <v/>
      </c>
      <c r="AG29" s="11">
        <f>AG25+AG26+AG27+AG28</f>
        <v/>
      </c>
      <c r="AH29" s="11">
        <f>AH25+AH26+AH27+AH28</f>
        <v/>
      </c>
      <c r="AI29" s="11">
        <f>AI25+AI26+AI27+AI28</f>
        <v/>
      </c>
      <c r="AJ29" s="11">
        <f>AJ25+AJ26+AJ27+AJ28</f>
        <v/>
      </c>
      <c r="AK29" s="11">
        <f>AK25+AK26+AK27+AK28</f>
        <v/>
      </c>
      <c r="AL29" s="11">
        <f>AL25+AL26+AL27+AL28</f>
        <v/>
      </c>
      <c r="AM29" s="11">
        <f>AM25+AM26+AM27+AM28</f>
        <v/>
      </c>
      <c r="AN29" s="11">
        <f>AN25+AN26+AN27+AN28</f>
        <v/>
      </c>
      <c r="AO29" s="11">
        <f>AO25+AO26+AO27+AO28</f>
        <v/>
      </c>
      <c r="AP29" s="11">
        <f>AP25+AP26+AP27+AP28</f>
        <v/>
      </c>
      <c r="AQ29" s="11">
        <f>AQ25+AQ26+AQ27+AQ28</f>
        <v/>
      </c>
      <c r="AR29" s="11">
        <f>AR25+AR26+AR27+AR28</f>
        <v/>
      </c>
      <c r="AS29" s="11">
        <f>AS25+AS26+AS27+AS28</f>
        <v/>
      </c>
      <c r="AT29" s="11">
        <f>AT25+AT26+AT27+AT28</f>
        <v/>
      </c>
      <c r="AU29" s="11">
        <f>AU25+AU26+AU27+AU28</f>
        <v/>
      </c>
      <c r="AV29" s="11">
        <f>AV25+AV26+AV27+AV28</f>
        <v/>
      </c>
      <c r="AW29" s="11">
        <f>AW25+AW26+AW27+AW28</f>
        <v/>
      </c>
      <c r="AX29" s="11">
        <f>AX25+AX26+AX27+AX28</f>
        <v/>
      </c>
      <c r="AY29" s="11">
        <f>AY25+AY26+AY27+AY28</f>
        <v/>
      </c>
      <c r="AZ29" s="11">
        <f>AZ25+AZ26+AZ27+AZ28</f>
        <v/>
      </c>
      <c r="BA29" s="11">
        <f>BA25+BA26+BA27+BA28</f>
        <v/>
      </c>
      <c r="BB29" s="11">
        <f>BB25+BB26+BB27+BB28</f>
        <v/>
      </c>
      <c r="BC29" s="11">
        <f>BC25+BC26+BC27+BC28</f>
        <v/>
      </c>
      <c r="BD29" s="11">
        <f>BD25+BD26+BD27+BD28</f>
        <v/>
      </c>
      <c r="BE29" s="11">
        <f>BE25+BE26+BE27+BE28</f>
        <v/>
      </c>
      <c r="BF29" s="11">
        <f>BF25+BF26+BF27+BF28</f>
        <v/>
      </c>
      <c r="BG29" s="11">
        <f>BG25+BG26+BG27+BG28</f>
        <v/>
      </c>
      <c r="BH29" s="11">
        <f>BH25+BH26+BH27+BH28</f>
        <v/>
      </c>
      <c r="BI29" s="11">
        <f>BI25+BI26+BI27+BI28</f>
        <v/>
      </c>
      <c r="BJ29" s="11">
        <f>BJ25+BJ26+BJ27+BJ28</f>
        <v/>
      </c>
    </row>
    <row r="30">
      <c r="A30" s="28" t="inlineStr">
        <is>
          <t>(−) Masse salariale (3 salariés)</t>
        </is>
      </c>
      <c r="C30" s="21">
        <f>-Hypotheses!$B$52*(1+Hypotheses!$B$50)^(C6-1)</f>
        <v/>
      </c>
      <c r="D30" s="21">
        <f>-Hypotheses!$B$52*(1+Hypotheses!$B$50)^(D6-1)</f>
        <v/>
      </c>
      <c r="E30" s="21">
        <f>-Hypotheses!$B$52*(1+Hypotheses!$B$50)^(E6-1)</f>
        <v/>
      </c>
      <c r="F30" s="21">
        <f>-Hypotheses!$B$52*(1+Hypotheses!$B$50)^(F6-1)</f>
        <v/>
      </c>
      <c r="G30" s="21">
        <f>-Hypotheses!$B$52*(1+Hypotheses!$B$50)^(G6-1)</f>
        <v/>
      </c>
      <c r="H30" s="21">
        <f>-Hypotheses!$B$52*(1+Hypotheses!$B$50)^(H6-1)</f>
        <v/>
      </c>
      <c r="I30" s="21">
        <f>-Hypotheses!$B$52*(1+Hypotheses!$B$50)^(I6-1)</f>
        <v/>
      </c>
      <c r="J30" s="21">
        <f>-Hypotheses!$B$52*(1+Hypotheses!$B$50)^(J6-1)</f>
        <v/>
      </c>
      <c r="K30" s="21">
        <f>-Hypotheses!$B$52*(1+Hypotheses!$B$50)^(K6-1)</f>
        <v/>
      </c>
      <c r="L30" s="21">
        <f>-Hypotheses!$B$52*(1+Hypotheses!$B$50)^(L6-1)</f>
        <v/>
      </c>
      <c r="M30" s="21">
        <f>-Hypotheses!$B$52*(1+Hypotheses!$B$50)^(M6-1)</f>
        <v/>
      </c>
      <c r="N30" s="21">
        <f>-Hypotheses!$B$52*(1+Hypotheses!$B$50)^(N6-1)</f>
        <v/>
      </c>
      <c r="O30" s="21">
        <f>-Hypotheses!$B$52*(1+Hypotheses!$B$50)^(O6-1)</f>
        <v/>
      </c>
      <c r="P30" s="21">
        <f>-Hypotheses!$B$52*(1+Hypotheses!$B$50)^(P6-1)</f>
        <v/>
      </c>
      <c r="Q30" s="21">
        <f>-Hypotheses!$B$52*(1+Hypotheses!$B$50)^(Q6-1)</f>
        <v/>
      </c>
      <c r="R30" s="21">
        <f>-Hypotheses!$B$52*(1+Hypotheses!$B$50)^(R6-1)</f>
        <v/>
      </c>
      <c r="S30" s="21">
        <f>-Hypotheses!$B$52*(1+Hypotheses!$B$50)^(S6-1)</f>
        <v/>
      </c>
      <c r="T30" s="21">
        <f>-Hypotheses!$B$52*(1+Hypotheses!$B$50)^(T6-1)</f>
        <v/>
      </c>
      <c r="U30" s="21">
        <f>-Hypotheses!$B$52*(1+Hypotheses!$B$50)^(U6-1)</f>
        <v/>
      </c>
      <c r="V30" s="21">
        <f>-Hypotheses!$B$52*(1+Hypotheses!$B$50)^(V6-1)</f>
        <v/>
      </c>
      <c r="W30" s="21">
        <f>-Hypotheses!$B$52*(1+Hypotheses!$B$50)^(W6-1)</f>
        <v/>
      </c>
      <c r="X30" s="21">
        <f>-Hypotheses!$B$52*(1+Hypotheses!$B$50)^(X6-1)</f>
        <v/>
      </c>
      <c r="Y30" s="21">
        <f>-Hypotheses!$B$52*(1+Hypotheses!$B$50)^(Y6-1)</f>
        <v/>
      </c>
      <c r="Z30" s="21">
        <f>-Hypotheses!$B$52*(1+Hypotheses!$B$50)^(Z6-1)</f>
        <v/>
      </c>
      <c r="AA30" s="21">
        <f>-Hypotheses!$B$52*(1+Hypotheses!$B$50)^(AA6-1)</f>
        <v/>
      </c>
      <c r="AB30" s="21">
        <f>-Hypotheses!$B$52*(1+Hypotheses!$B$50)^(AB6-1)</f>
        <v/>
      </c>
      <c r="AC30" s="21">
        <f>-Hypotheses!$B$52*(1+Hypotheses!$B$50)^(AC6-1)</f>
        <v/>
      </c>
      <c r="AD30" s="21">
        <f>-Hypotheses!$B$52*(1+Hypotheses!$B$50)^(AD6-1)</f>
        <v/>
      </c>
      <c r="AE30" s="21">
        <f>-Hypotheses!$B$52*(1+Hypotheses!$B$50)^(AE6-1)</f>
        <v/>
      </c>
      <c r="AF30" s="21">
        <f>-Hypotheses!$B$52*(1+Hypotheses!$B$50)^(AF6-1)</f>
        <v/>
      </c>
      <c r="AG30" s="21">
        <f>-Hypotheses!$B$52*(1+Hypotheses!$B$50)^(AG6-1)</f>
        <v/>
      </c>
      <c r="AH30" s="21">
        <f>-Hypotheses!$B$52*(1+Hypotheses!$B$50)^(AH6-1)</f>
        <v/>
      </c>
      <c r="AI30" s="21">
        <f>-Hypotheses!$B$52*(1+Hypotheses!$B$50)^(AI6-1)</f>
        <v/>
      </c>
      <c r="AJ30" s="21">
        <f>-Hypotheses!$B$52*(1+Hypotheses!$B$50)^(AJ6-1)</f>
        <v/>
      </c>
      <c r="AK30" s="21">
        <f>-Hypotheses!$B$52*(1+Hypotheses!$B$50)^(AK6-1)</f>
        <v/>
      </c>
      <c r="AL30" s="21">
        <f>-Hypotheses!$B$52*(1+Hypotheses!$B$50)^(AL6-1)</f>
        <v/>
      </c>
      <c r="AM30" s="21">
        <f>-Hypotheses!$B$52*(1+Hypotheses!$B$50)^(AM6-1)</f>
        <v/>
      </c>
      <c r="AN30" s="21">
        <f>-Hypotheses!$B$52*(1+Hypotheses!$B$50)^(AN6-1)</f>
        <v/>
      </c>
      <c r="AO30" s="21">
        <f>-Hypotheses!$B$52*(1+Hypotheses!$B$50)^(AO6-1)</f>
        <v/>
      </c>
      <c r="AP30" s="21">
        <f>-Hypotheses!$B$52*(1+Hypotheses!$B$50)^(AP6-1)</f>
        <v/>
      </c>
      <c r="AQ30" s="21">
        <f>-Hypotheses!$B$52*(1+Hypotheses!$B$50)^(AQ6-1)</f>
        <v/>
      </c>
      <c r="AR30" s="21">
        <f>-Hypotheses!$B$52*(1+Hypotheses!$B$50)^(AR6-1)</f>
        <v/>
      </c>
      <c r="AS30" s="21">
        <f>-Hypotheses!$B$52*(1+Hypotheses!$B$50)^(AS6-1)</f>
        <v/>
      </c>
      <c r="AT30" s="21">
        <f>-Hypotheses!$B$52*(1+Hypotheses!$B$50)^(AT6-1)</f>
        <v/>
      </c>
      <c r="AU30" s="21">
        <f>-Hypotheses!$B$52*(1+Hypotheses!$B$50)^(AU6-1)</f>
        <v/>
      </c>
      <c r="AV30" s="21">
        <f>-Hypotheses!$B$52*(1+Hypotheses!$B$50)^(AV6-1)</f>
        <v/>
      </c>
      <c r="AW30" s="21">
        <f>-Hypotheses!$B$52*(1+Hypotheses!$B$50)^(AW6-1)</f>
        <v/>
      </c>
      <c r="AX30" s="21">
        <f>-Hypotheses!$B$52*(1+Hypotheses!$B$50)^(AX6-1)</f>
        <v/>
      </c>
      <c r="AY30" s="21">
        <f>-Hypotheses!$B$52*(1+Hypotheses!$B$50)^(AY6-1)</f>
        <v/>
      </c>
      <c r="AZ30" s="21">
        <f>-Hypotheses!$B$52*(1+Hypotheses!$B$50)^(AZ6-1)</f>
        <v/>
      </c>
      <c r="BA30" s="21">
        <f>-Hypotheses!$B$52*(1+Hypotheses!$B$50)^(BA6-1)</f>
        <v/>
      </c>
      <c r="BB30" s="21">
        <f>-Hypotheses!$B$52*(1+Hypotheses!$B$50)^(BB6-1)</f>
        <v/>
      </c>
      <c r="BC30" s="21">
        <f>-Hypotheses!$B$52*(1+Hypotheses!$B$50)^(BC6-1)</f>
        <v/>
      </c>
      <c r="BD30" s="21">
        <f>-Hypotheses!$B$52*(1+Hypotheses!$B$50)^(BD6-1)</f>
        <v/>
      </c>
      <c r="BE30" s="21">
        <f>-Hypotheses!$B$52*(1+Hypotheses!$B$50)^(BE6-1)</f>
        <v/>
      </c>
      <c r="BF30" s="21">
        <f>-Hypotheses!$B$52*(1+Hypotheses!$B$50)^(BF6-1)</f>
        <v/>
      </c>
      <c r="BG30" s="21">
        <f>-Hypotheses!$B$52*(1+Hypotheses!$B$50)^(BG6-1)</f>
        <v/>
      </c>
      <c r="BH30" s="21">
        <f>-Hypotheses!$B$52*(1+Hypotheses!$B$50)^(BH6-1)</f>
        <v/>
      </c>
      <c r="BI30" s="21">
        <f>-Hypotheses!$B$52*(1+Hypotheses!$B$50)^(BI6-1)</f>
        <v/>
      </c>
      <c r="BJ30" s="21">
        <f>-Hypotheses!$B$52*(1+Hypotheses!$B$50)^(BJ6-1)</f>
        <v/>
      </c>
    </row>
    <row r="31">
      <c r="A31" s="28" t="inlineStr">
        <is>
          <t>(−) Support supplémentaire</t>
        </is>
      </c>
      <c r="C31" s="21">
        <f>-C22*Hypotheses!$B$101*(1+Hypotheses!$B$50)^(C6-1)</f>
        <v/>
      </c>
      <c r="D31" s="21">
        <f>-D22*Hypotheses!$B$101*(1+Hypotheses!$B$50)^(D6-1)</f>
        <v/>
      </c>
      <c r="E31" s="21">
        <f>-E22*Hypotheses!$B$101*(1+Hypotheses!$B$50)^(E6-1)</f>
        <v/>
      </c>
      <c r="F31" s="21">
        <f>-F22*Hypotheses!$B$101*(1+Hypotheses!$B$50)^(F6-1)</f>
        <v/>
      </c>
      <c r="G31" s="21">
        <f>-G22*Hypotheses!$B$101*(1+Hypotheses!$B$50)^(G6-1)</f>
        <v/>
      </c>
      <c r="H31" s="21">
        <f>-H22*Hypotheses!$B$101*(1+Hypotheses!$B$50)^(H6-1)</f>
        <v/>
      </c>
      <c r="I31" s="21">
        <f>-I22*Hypotheses!$B$101*(1+Hypotheses!$B$50)^(I6-1)</f>
        <v/>
      </c>
      <c r="J31" s="21">
        <f>-J22*Hypotheses!$B$101*(1+Hypotheses!$B$50)^(J6-1)</f>
        <v/>
      </c>
      <c r="K31" s="21">
        <f>-K22*Hypotheses!$B$101*(1+Hypotheses!$B$50)^(K6-1)</f>
        <v/>
      </c>
      <c r="L31" s="21">
        <f>-L22*Hypotheses!$B$101*(1+Hypotheses!$B$50)^(L6-1)</f>
        <v/>
      </c>
      <c r="M31" s="21">
        <f>-M22*Hypotheses!$B$101*(1+Hypotheses!$B$50)^(M6-1)</f>
        <v/>
      </c>
      <c r="N31" s="21">
        <f>-N22*Hypotheses!$B$101*(1+Hypotheses!$B$50)^(N6-1)</f>
        <v/>
      </c>
      <c r="O31" s="21">
        <f>-O22*Hypotheses!$B$101*(1+Hypotheses!$B$50)^(O6-1)</f>
        <v/>
      </c>
      <c r="P31" s="21">
        <f>-P22*Hypotheses!$B$101*(1+Hypotheses!$B$50)^(P6-1)</f>
        <v/>
      </c>
      <c r="Q31" s="21">
        <f>-Q22*Hypotheses!$B$101*(1+Hypotheses!$B$50)^(Q6-1)</f>
        <v/>
      </c>
      <c r="R31" s="21">
        <f>-R22*Hypotheses!$B$101*(1+Hypotheses!$B$50)^(R6-1)</f>
        <v/>
      </c>
      <c r="S31" s="21">
        <f>-S22*Hypotheses!$B$101*(1+Hypotheses!$B$50)^(S6-1)</f>
        <v/>
      </c>
      <c r="T31" s="21">
        <f>-T22*Hypotheses!$B$101*(1+Hypotheses!$B$50)^(T6-1)</f>
        <v/>
      </c>
      <c r="U31" s="21">
        <f>-U22*Hypotheses!$B$101*(1+Hypotheses!$B$50)^(U6-1)</f>
        <v/>
      </c>
      <c r="V31" s="21">
        <f>-V22*Hypotheses!$B$101*(1+Hypotheses!$B$50)^(V6-1)</f>
        <v/>
      </c>
      <c r="W31" s="21">
        <f>-W22*Hypotheses!$B$101*(1+Hypotheses!$B$50)^(W6-1)</f>
        <v/>
      </c>
      <c r="X31" s="21">
        <f>-X22*Hypotheses!$B$101*(1+Hypotheses!$B$50)^(X6-1)</f>
        <v/>
      </c>
      <c r="Y31" s="21">
        <f>-Y22*Hypotheses!$B$101*(1+Hypotheses!$B$50)^(Y6-1)</f>
        <v/>
      </c>
      <c r="Z31" s="21">
        <f>-Z22*Hypotheses!$B$101*(1+Hypotheses!$B$50)^(Z6-1)</f>
        <v/>
      </c>
      <c r="AA31" s="21">
        <f>-AA22*Hypotheses!$B$101*(1+Hypotheses!$B$50)^(AA6-1)</f>
        <v/>
      </c>
      <c r="AB31" s="21">
        <f>-AB22*Hypotheses!$B$101*(1+Hypotheses!$B$50)^(AB6-1)</f>
        <v/>
      </c>
      <c r="AC31" s="21">
        <f>-AC22*Hypotheses!$B$101*(1+Hypotheses!$B$50)^(AC6-1)</f>
        <v/>
      </c>
      <c r="AD31" s="21">
        <f>-AD22*Hypotheses!$B$101*(1+Hypotheses!$B$50)^(AD6-1)</f>
        <v/>
      </c>
      <c r="AE31" s="21">
        <f>-AE22*Hypotheses!$B$101*(1+Hypotheses!$B$50)^(AE6-1)</f>
        <v/>
      </c>
      <c r="AF31" s="21">
        <f>-AF22*Hypotheses!$B$101*(1+Hypotheses!$B$50)^(AF6-1)</f>
        <v/>
      </c>
      <c r="AG31" s="21">
        <f>-AG22*Hypotheses!$B$101*(1+Hypotheses!$B$50)^(AG6-1)</f>
        <v/>
      </c>
      <c r="AH31" s="21">
        <f>-AH22*Hypotheses!$B$101*(1+Hypotheses!$B$50)^(AH6-1)</f>
        <v/>
      </c>
      <c r="AI31" s="21">
        <f>-AI22*Hypotheses!$B$101*(1+Hypotheses!$B$50)^(AI6-1)</f>
        <v/>
      </c>
      <c r="AJ31" s="21">
        <f>-AJ22*Hypotheses!$B$101*(1+Hypotheses!$B$50)^(AJ6-1)</f>
        <v/>
      </c>
      <c r="AK31" s="21">
        <f>-AK22*Hypotheses!$B$101*(1+Hypotheses!$B$50)^(AK6-1)</f>
        <v/>
      </c>
      <c r="AL31" s="21">
        <f>-AL22*Hypotheses!$B$101*(1+Hypotheses!$B$50)^(AL6-1)</f>
        <v/>
      </c>
      <c r="AM31" s="21">
        <f>-AM22*Hypotheses!$B$101*(1+Hypotheses!$B$50)^(AM6-1)</f>
        <v/>
      </c>
      <c r="AN31" s="21">
        <f>-AN22*Hypotheses!$B$101*(1+Hypotheses!$B$50)^(AN6-1)</f>
        <v/>
      </c>
      <c r="AO31" s="21">
        <f>-AO22*Hypotheses!$B$101*(1+Hypotheses!$B$50)^(AO6-1)</f>
        <v/>
      </c>
      <c r="AP31" s="21">
        <f>-AP22*Hypotheses!$B$101*(1+Hypotheses!$B$50)^(AP6-1)</f>
        <v/>
      </c>
      <c r="AQ31" s="21">
        <f>-AQ22*Hypotheses!$B$101*(1+Hypotheses!$B$50)^(AQ6-1)</f>
        <v/>
      </c>
      <c r="AR31" s="21">
        <f>-AR22*Hypotheses!$B$101*(1+Hypotheses!$B$50)^(AR6-1)</f>
        <v/>
      </c>
      <c r="AS31" s="21">
        <f>-AS22*Hypotheses!$B$101*(1+Hypotheses!$B$50)^(AS6-1)</f>
        <v/>
      </c>
      <c r="AT31" s="21">
        <f>-AT22*Hypotheses!$B$101*(1+Hypotheses!$B$50)^(AT6-1)</f>
        <v/>
      </c>
      <c r="AU31" s="21">
        <f>-AU22*Hypotheses!$B$101*(1+Hypotheses!$B$50)^(AU6-1)</f>
        <v/>
      </c>
      <c r="AV31" s="21">
        <f>-AV22*Hypotheses!$B$101*(1+Hypotheses!$B$50)^(AV6-1)</f>
        <v/>
      </c>
      <c r="AW31" s="21">
        <f>-AW22*Hypotheses!$B$101*(1+Hypotheses!$B$50)^(AW6-1)</f>
        <v/>
      </c>
      <c r="AX31" s="21">
        <f>-AX22*Hypotheses!$B$101*(1+Hypotheses!$B$50)^(AX6-1)</f>
        <v/>
      </c>
      <c r="AY31" s="21">
        <f>-AY22*Hypotheses!$B$101*(1+Hypotheses!$B$50)^(AY6-1)</f>
        <v/>
      </c>
      <c r="AZ31" s="21">
        <f>-AZ22*Hypotheses!$B$101*(1+Hypotheses!$B$50)^(AZ6-1)</f>
        <v/>
      </c>
      <c r="BA31" s="21">
        <f>-BA22*Hypotheses!$B$101*(1+Hypotheses!$B$50)^(BA6-1)</f>
        <v/>
      </c>
      <c r="BB31" s="21">
        <f>-BB22*Hypotheses!$B$101*(1+Hypotheses!$B$50)^(BB6-1)</f>
        <v/>
      </c>
      <c r="BC31" s="21">
        <f>-BC22*Hypotheses!$B$101*(1+Hypotheses!$B$50)^(BC6-1)</f>
        <v/>
      </c>
      <c r="BD31" s="21">
        <f>-BD22*Hypotheses!$B$101*(1+Hypotheses!$B$50)^(BD6-1)</f>
        <v/>
      </c>
      <c r="BE31" s="21">
        <f>-BE22*Hypotheses!$B$101*(1+Hypotheses!$B$50)^(BE6-1)</f>
        <v/>
      </c>
      <c r="BF31" s="21">
        <f>-BF22*Hypotheses!$B$101*(1+Hypotheses!$B$50)^(BF6-1)</f>
        <v/>
      </c>
      <c r="BG31" s="21">
        <f>-BG22*Hypotheses!$B$101*(1+Hypotheses!$B$50)^(BG6-1)</f>
        <v/>
      </c>
      <c r="BH31" s="21">
        <f>-BH22*Hypotheses!$B$101*(1+Hypotheses!$B$50)^(BH6-1)</f>
        <v/>
      </c>
      <c r="BI31" s="21">
        <f>-BI22*Hypotheses!$B$101*(1+Hypotheses!$B$50)^(BI6-1)</f>
        <v/>
      </c>
      <c r="BJ31" s="21">
        <f>-BJ22*Hypotheses!$B$101*(1+Hypotheses!$B$50)^(BJ6-1)</f>
        <v/>
      </c>
    </row>
    <row r="32">
      <c r="A32" s="28" t="inlineStr">
        <is>
          <t>(−) CSM dédiés Enterprise</t>
        </is>
      </c>
      <c r="C32" s="21">
        <f>-C23*Hypotheses!$B$111*(1+Hypotheses!$B$50)^(C6-1)</f>
        <v/>
      </c>
      <c r="D32" s="21">
        <f>-D23*Hypotheses!$B$111*(1+Hypotheses!$B$50)^(D6-1)</f>
        <v/>
      </c>
      <c r="E32" s="21">
        <f>-E23*Hypotheses!$B$111*(1+Hypotheses!$B$50)^(E6-1)</f>
        <v/>
      </c>
      <c r="F32" s="21">
        <f>-F23*Hypotheses!$B$111*(1+Hypotheses!$B$50)^(F6-1)</f>
        <v/>
      </c>
      <c r="G32" s="21">
        <f>-G23*Hypotheses!$B$111*(1+Hypotheses!$B$50)^(G6-1)</f>
        <v/>
      </c>
      <c r="H32" s="21">
        <f>-H23*Hypotheses!$B$111*(1+Hypotheses!$B$50)^(H6-1)</f>
        <v/>
      </c>
      <c r="I32" s="21">
        <f>-I23*Hypotheses!$B$111*(1+Hypotheses!$B$50)^(I6-1)</f>
        <v/>
      </c>
      <c r="J32" s="21">
        <f>-J23*Hypotheses!$B$111*(1+Hypotheses!$B$50)^(J6-1)</f>
        <v/>
      </c>
      <c r="K32" s="21">
        <f>-K23*Hypotheses!$B$111*(1+Hypotheses!$B$50)^(K6-1)</f>
        <v/>
      </c>
      <c r="L32" s="21">
        <f>-L23*Hypotheses!$B$111*(1+Hypotheses!$B$50)^(L6-1)</f>
        <v/>
      </c>
      <c r="M32" s="21">
        <f>-M23*Hypotheses!$B$111*(1+Hypotheses!$B$50)^(M6-1)</f>
        <v/>
      </c>
      <c r="N32" s="21">
        <f>-N23*Hypotheses!$B$111*(1+Hypotheses!$B$50)^(N6-1)</f>
        <v/>
      </c>
      <c r="O32" s="21">
        <f>-O23*Hypotheses!$B$111*(1+Hypotheses!$B$50)^(O6-1)</f>
        <v/>
      </c>
      <c r="P32" s="21">
        <f>-P23*Hypotheses!$B$111*(1+Hypotheses!$B$50)^(P6-1)</f>
        <v/>
      </c>
      <c r="Q32" s="21">
        <f>-Q23*Hypotheses!$B$111*(1+Hypotheses!$B$50)^(Q6-1)</f>
        <v/>
      </c>
      <c r="R32" s="21">
        <f>-R23*Hypotheses!$B$111*(1+Hypotheses!$B$50)^(R6-1)</f>
        <v/>
      </c>
      <c r="S32" s="21">
        <f>-S23*Hypotheses!$B$111*(1+Hypotheses!$B$50)^(S6-1)</f>
        <v/>
      </c>
      <c r="T32" s="21">
        <f>-T23*Hypotheses!$B$111*(1+Hypotheses!$B$50)^(T6-1)</f>
        <v/>
      </c>
      <c r="U32" s="21">
        <f>-U23*Hypotheses!$B$111*(1+Hypotheses!$B$50)^(U6-1)</f>
        <v/>
      </c>
      <c r="V32" s="21">
        <f>-V23*Hypotheses!$B$111*(1+Hypotheses!$B$50)^(V6-1)</f>
        <v/>
      </c>
      <c r="W32" s="21">
        <f>-W23*Hypotheses!$B$111*(1+Hypotheses!$B$50)^(W6-1)</f>
        <v/>
      </c>
      <c r="X32" s="21">
        <f>-X23*Hypotheses!$B$111*(1+Hypotheses!$B$50)^(X6-1)</f>
        <v/>
      </c>
      <c r="Y32" s="21">
        <f>-Y23*Hypotheses!$B$111*(1+Hypotheses!$B$50)^(Y6-1)</f>
        <v/>
      </c>
      <c r="Z32" s="21">
        <f>-Z23*Hypotheses!$B$111*(1+Hypotheses!$B$50)^(Z6-1)</f>
        <v/>
      </c>
      <c r="AA32" s="21">
        <f>-AA23*Hypotheses!$B$111*(1+Hypotheses!$B$50)^(AA6-1)</f>
        <v/>
      </c>
      <c r="AB32" s="21">
        <f>-AB23*Hypotheses!$B$111*(1+Hypotheses!$B$50)^(AB6-1)</f>
        <v/>
      </c>
      <c r="AC32" s="21">
        <f>-AC23*Hypotheses!$B$111*(1+Hypotheses!$B$50)^(AC6-1)</f>
        <v/>
      </c>
      <c r="AD32" s="21">
        <f>-AD23*Hypotheses!$B$111*(1+Hypotheses!$B$50)^(AD6-1)</f>
        <v/>
      </c>
      <c r="AE32" s="21">
        <f>-AE23*Hypotheses!$B$111*(1+Hypotheses!$B$50)^(AE6-1)</f>
        <v/>
      </c>
      <c r="AF32" s="21">
        <f>-AF23*Hypotheses!$B$111*(1+Hypotheses!$B$50)^(AF6-1)</f>
        <v/>
      </c>
      <c r="AG32" s="21">
        <f>-AG23*Hypotheses!$B$111*(1+Hypotheses!$B$50)^(AG6-1)</f>
        <v/>
      </c>
      <c r="AH32" s="21">
        <f>-AH23*Hypotheses!$B$111*(1+Hypotheses!$B$50)^(AH6-1)</f>
        <v/>
      </c>
      <c r="AI32" s="21">
        <f>-AI23*Hypotheses!$B$111*(1+Hypotheses!$B$50)^(AI6-1)</f>
        <v/>
      </c>
      <c r="AJ32" s="21">
        <f>-AJ23*Hypotheses!$B$111*(1+Hypotheses!$B$50)^(AJ6-1)</f>
        <v/>
      </c>
      <c r="AK32" s="21">
        <f>-AK23*Hypotheses!$B$111*(1+Hypotheses!$B$50)^(AK6-1)</f>
        <v/>
      </c>
      <c r="AL32" s="21">
        <f>-AL23*Hypotheses!$B$111*(1+Hypotheses!$B$50)^(AL6-1)</f>
        <v/>
      </c>
      <c r="AM32" s="21">
        <f>-AM23*Hypotheses!$B$111*(1+Hypotheses!$B$50)^(AM6-1)</f>
        <v/>
      </c>
      <c r="AN32" s="21">
        <f>-AN23*Hypotheses!$B$111*(1+Hypotheses!$B$50)^(AN6-1)</f>
        <v/>
      </c>
      <c r="AO32" s="21">
        <f>-AO23*Hypotheses!$B$111*(1+Hypotheses!$B$50)^(AO6-1)</f>
        <v/>
      </c>
      <c r="AP32" s="21">
        <f>-AP23*Hypotheses!$B$111*(1+Hypotheses!$B$50)^(AP6-1)</f>
        <v/>
      </c>
      <c r="AQ32" s="21">
        <f>-AQ23*Hypotheses!$B$111*(1+Hypotheses!$B$50)^(AQ6-1)</f>
        <v/>
      </c>
      <c r="AR32" s="21">
        <f>-AR23*Hypotheses!$B$111*(1+Hypotheses!$B$50)^(AR6-1)</f>
        <v/>
      </c>
      <c r="AS32" s="21">
        <f>-AS23*Hypotheses!$B$111*(1+Hypotheses!$B$50)^(AS6-1)</f>
        <v/>
      </c>
      <c r="AT32" s="21">
        <f>-AT23*Hypotheses!$B$111*(1+Hypotheses!$B$50)^(AT6-1)</f>
        <v/>
      </c>
      <c r="AU32" s="21">
        <f>-AU23*Hypotheses!$B$111*(1+Hypotheses!$B$50)^(AU6-1)</f>
        <v/>
      </c>
      <c r="AV32" s="21">
        <f>-AV23*Hypotheses!$B$111*(1+Hypotheses!$B$50)^(AV6-1)</f>
        <v/>
      </c>
      <c r="AW32" s="21">
        <f>-AW23*Hypotheses!$B$111*(1+Hypotheses!$B$50)^(AW6-1)</f>
        <v/>
      </c>
      <c r="AX32" s="21">
        <f>-AX23*Hypotheses!$B$111*(1+Hypotheses!$B$50)^(AX6-1)</f>
        <v/>
      </c>
      <c r="AY32" s="21">
        <f>-AY23*Hypotheses!$B$111*(1+Hypotheses!$B$50)^(AY6-1)</f>
        <v/>
      </c>
      <c r="AZ32" s="21">
        <f>-AZ23*Hypotheses!$B$111*(1+Hypotheses!$B$50)^(AZ6-1)</f>
        <v/>
      </c>
      <c r="BA32" s="21">
        <f>-BA23*Hypotheses!$B$111*(1+Hypotheses!$B$50)^(BA6-1)</f>
        <v/>
      </c>
      <c r="BB32" s="21">
        <f>-BB23*Hypotheses!$B$111*(1+Hypotheses!$B$50)^(BB6-1)</f>
        <v/>
      </c>
      <c r="BC32" s="21">
        <f>-BC23*Hypotheses!$B$111*(1+Hypotheses!$B$50)^(BC6-1)</f>
        <v/>
      </c>
      <c r="BD32" s="21">
        <f>-BD23*Hypotheses!$B$111*(1+Hypotheses!$B$50)^(BD6-1)</f>
        <v/>
      </c>
      <c r="BE32" s="21">
        <f>-BE23*Hypotheses!$B$111*(1+Hypotheses!$B$50)^(BE6-1)</f>
        <v/>
      </c>
      <c r="BF32" s="21">
        <f>-BF23*Hypotheses!$B$111*(1+Hypotheses!$B$50)^(BF6-1)</f>
        <v/>
      </c>
      <c r="BG32" s="21">
        <f>-BG23*Hypotheses!$B$111*(1+Hypotheses!$B$50)^(BG6-1)</f>
        <v/>
      </c>
      <c r="BH32" s="21">
        <f>-BH23*Hypotheses!$B$111*(1+Hypotheses!$B$50)^(BH6-1)</f>
        <v/>
      </c>
      <c r="BI32" s="21">
        <f>-BI23*Hypotheses!$B$111*(1+Hypotheses!$B$50)^(BI6-1)</f>
        <v/>
      </c>
      <c r="BJ32" s="21">
        <f>-BJ23*Hypotheses!$B$111*(1+Hypotheses!$B$50)^(BJ6-1)</f>
        <v/>
      </c>
    </row>
    <row r="33">
      <c r="A33" s="28" t="inlineStr">
        <is>
          <t>(−) Maintenance serveurs Enterprise</t>
        </is>
      </c>
      <c r="C33" s="21">
        <f>-C11*Hypotheses!$B$108</f>
        <v/>
      </c>
      <c r="D33" s="21">
        <f>-D11*Hypotheses!$B$108</f>
        <v/>
      </c>
      <c r="E33" s="21">
        <f>-E11*Hypotheses!$B$108</f>
        <v/>
      </c>
      <c r="F33" s="21">
        <f>-F11*Hypotheses!$B$108</f>
        <v/>
      </c>
      <c r="G33" s="21">
        <f>-G11*Hypotheses!$B$108</f>
        <v/>
      </c>
      <c r="H33" s="21">
        <f>-H11*Hypotheses!$B$108</f>
        <v/>
      </c>
      <c r="I33" s="21">
        <f>-I11*Hypotheses!$B$108</f>
        <v/>
      </c>
      <c r="J33" s="21">
        <f>-J11*Hypotheses!$B$108</f>
        <v/>
      </c>
      <c r="K33" s="21">
        <f>-K11*Hypotheses!$B$108</f>
        <v/>
      </c>
      <c r="L33" s="21">
        <f>-L11*Hypotheses!$B$108</f>
        <v/>
      </c>
      <c r="M33" s="21">
        <f>-M11*Hypotheses!$B$108</f>
        <v/>
      </c>
      <c r="N33" s="21">
        <f>-N11*Hypotheses!$B$108</f>
        <v/>
      </c>
      <c r="O33" s="21">
        <f>-O11*Hypotheses!$B$108</f>
        <v/>
      </c>
      <c r="P33" s="21">
        <f>-P11*Hypotheses!$B$108</f>
        <v/>
      </c>
      <c r="Q33" s="21">
        <f>-Q11*Hypotheses!$B$108</f>
        <v/>
      </c>
      <c r="R33" s="21">
        <f>-R11*Hypotheses!$B$108</f>
        <v/>
      </c>
      <c r="S33" s="21">
        <f>-S11*Hypotheses!$B$108</f>
        <v/>
      </c>
      <c r="T33" s="21">
        <f>-T11*Hypotheses!$B$108</f>
        <v/>
      </c>
      <c r="U33" s="21">
        <f>-U11*Hypotheses!$B$108</f>
        <v/>
      </c>
      <c r="V33" s="21">
        <f>-V11*Hypotheses!$B$108</f>
        <v/>
      </c>
      <c r="W33" s="21">
        <f>-W11*Hypotheses!$B$108</f>
        <v/>
      </c>
      <c r="X33" s="21">
        <f>-X11*Hypotheses!$B$108</f>
        <v/>
      </c>
      <c r="Y33" s="21">
        <f>-Y11*Hypotheses!$B$108</f>
        <v/>
      </c>
      <c r="Z33" s="21">
        <f>-Z11*Hypotheses!$B$108</f>
        <v/>
      </c>
      <c r="AA33" s="21">
        <f>-AA11*Hypotheses!$B$108</f>
        <v/>
      </c>
      <c r="AB33" s="21">
        <f>-AB11*Hypotheses!$B$108</f>
        <v/>
      </c>
      <c r="AC33" s="21">
        <f>-AC11*Hypotheses!$B$108</f>
        <v/>
      </c>
      <c r="AD33" s="21">
        <f>-AD11*Hypotheses!$B$108</f>
        <v/>
      </c>
      <c r="AE33" s="21">
        <f>-AE11*Hypotheses!$B$108</f>
        <v/>
      </c>
      <c r="AF33" s="21">
        <f>-AF11*Hypotheses!$B$108</f>
        <v/>
      </c>
      <c r="AG33" s="21">
        <f>-AG11*Hypotheses!$B$108</f>
        <v/>
      </c>
      <c r="AH33" s="21">
        <f>-AH11*Hypotheses!$B$108</f>
        <v/>
      </c>
      <c r="AI33" s="21">
        <f>-AI11*Hypotheses!$B$108</f>
        <v/>
      </c>
      <c r="AJ33" s="21">
        <f>-AJ11*Hypotheses!$B$108</f>
        <v/>
      </c>
      <c r="AK33" s="21">
        <f>-AK11*Hypotheses!$B$108</f>
        <v/>
      </c>
      <c r="AL33" s="21">
        <f>-AL11*Hypotheses!$B$108</f>
        <v/>
      </c>
      <c r="AM33" s="21">
        <f>-AM11*Hypotheses!$B$108</f>
        <v/>
      </c>
      <c r="AN33" s="21">
        <f>-AN11*Hypotheses!$B$108</f>
        <v/>
      </c>
      <c r="AO33" s="21">
        <f>-AO11*Hypotheses!$B$108</f>
        <v/>
      </c>
      <c r="AP33" s="21">
        <f>-AP11*Hypotheses!$B$108</f>
        <v/>
      </c>
      <c r="AQ33" s="21">
        <f>-AQ11*Hypotheses!$B$108</f>
        <v/>
      </c>
      <c r="AR33" s="21">
        <f>-AR11*Hypotheses!$B$108</f>
        <v/>
      </c>
      <c r="AS33" s="21">
        <f>-AS11*Hypotheses!$B$108</f>
        <v/>
      </c>
      <c r="AT33" s="21">
        <f>-AT11*Hypotheses!$B$108</f>
        <v/>
      </c>
      <c r="AU33" s="21">
        <f>-AU11*Hypotheses!$B$108</f>
        <v/>
      </c>
      <c r="AV33" s="21">
        <f>-AV11*Hypotheses!$B$108</f>
        <v/>
      </c>
      <c r="AW33" s="21">
        <f>-AW11*Hypotheses!$B$108</f>
        <v/>
      </c>
      <c r="AX33" s="21">
        <f>-AX11*Hypotheses!$B$108</f>
        <v/>
      </c>
      <c r="AY33" s="21">
        <f>-AY11*Hypotheses!$B$108</f>
        <v/>
      </c>
      <c r="AZ33" s="21">
        <f>-AZ11*Hypotheses!$B$108</f>
        <v/>
      </c>
      <c r="BA33" s="21">
        <f>-BA11*Hypotheses!$B$108</f>
        <v/>
      </c>
      <c r="BB33" s="21">
        <f>-BB11*Hypotheses!$B$108</f>
        <v/>
      </c>
      <c r="BC33" s="21">
        <f>-BC11*Hypotheses!$B$108</f>
        <v/>
      </c>
      <c r="BD33" s="21">
        <f>-BD11*Hypotheses!$B$108</f>
        <v/>
      </c>
      <c r="BE33" s="21">
        <f>-BE11*Hypotheses!$B$108</f>
        <v/>
      </c>
      <c r="BF33" s="21">
        <f>-BF11*Hypotheses!$B$108</f>
        <v/>
      </c>
      <c r="BG33" s="21">
        <f>-BG11*Hypotheses!$B$108</f>
        <v/>
      </c>
      <c r="BH33" s="21">
        <f>-BH11*Hypotheses!$B$108</f>
        <v/>
      </c>
      <c r="BI33" s="21">
        <f>-BI11*Hypotheses!$B$108</f>
        <v/>
      </c>
      <c r="BJ33" s="21">
        <f>-BJ11*Hypotheses!$B$108</f>
        <v/>
      </c>
    </row>
    <row r="34">
      <c r="A34" s="28" t="inlineStr">
        <is>
          <t>(−) Installation serveur Enterprise (une fois)</t>
        </is>
      </c>
      <c r="C34" s="21">
        <f>-C12*Hypotheses!$B$106</f>
        <v/>
      </c>
      <c r="D34" s="21">
        <f>-D12*Hypotheses!$B$106</f>
        <v/>
      </c>
      <c r="E34" s="21">
        <f>-E12*Hypotheses!$B$106</f>
        <v/>
      </c>
      <c r="F34" s="21">
        <f>-F12*Hypotheses!$B$106</f>
        <v/>
      </c>
      <c r="G34" s="21">
        <f>-G12*Hypotheses!$B$106</f>
        <v/>
      </c>
      <c r="H34" s="21">
        <f>-H12*Hypotheses!$B$106</f>
        <v/>
      </c>
      <c r="I34" s="21">
        <f>-I12*Hypotheses!$B$106</f>
        <v/>
      </c>
      <c r="J34" s="21">
        <f>-J12*Hypotheses!$B$106</f>
        <v/>
      </c>
      <c r="K34" s="21">
        <f>-K12*Hypotheses!$B$106</f>
        <v/>
      </c>
      <c r="L34" s="21">
        <f>-L12*Hypotheses!$B$106</f>
        <v/>
      </c>
      <c r="M34" s="21">
        <f>-M12*Hypotheses!$B$106</f>
        <v/>
      </c>
      <c r="N34" s="21">
        <f>-N12*Hypotheses!$B$106</f>
        <v/>
      </c>
      <c r="O34" s="21">
        <f>-O12*Hypotheses!$B$106</f>
        <v/>
      </c>
      <c r="P34" s="21">
        <f>-P12*Hypotheses!$B$106</f>
        <v/>
      </c>
      <c r="Q34" s="21">
        <f>-Q12*Hypotheses!$B$106</f>
        <v/>
      </c>
      <c r="R34" s="21">
        <f>-R12*Hypotheses!$B$106</f>
        <v/>
      </c>
      <c r="S34" s="21">
        <f>-S12*Hypotheses!$B$106</f>
        <v/>
      </c>
      <c r="T34" s="21">
        <f>-T12*Hypotheses!$B$106</f>
        <v/>
      </c>
      <c r="U34" s="21">
        <f>-U12*Hypotheses!$B$106</f>
        <v/>
      </c>
      <c r="V34" s="21">
        <f>-V12*Hypotheses!$B$106</f>
        <v/>
      </c>
      <c r="W34" s="21">
        <f>-W12*Hypotheses!$B$106</f>
        <v/>
      </c>
      <c r="X34" s="21">
        <f>-X12*Hypotheses!$B$106</f>
        <v/>
      </c>
      <c r="Y34" s="21">
        <f>-Y12*Hypotheses!$B$106</f>
        <v/>
      </c>
      <c r="Z34" s="21">
        <f>-Z12*Hypotheses!$B$106</f>
        <v/>
      </c>
      <c r="AA34" s="21">
        <f>-AA12*Hypotheses!$B$106</f>
        <v/>
      </c>
      <c r="AB34" s="21">
        <f>-AB12*Hypotheses!$B$106</f>
        <v/>
      </c>
      <c r="AC34" s="21">
        <f>-AC12*Hypotheses!$B$106</f>
        <v/>
      </c>
      <c r="AD34" s="21">
        <f>-AD12*Hypotheses!$B$106</f>
        <v/>
      </c>
      <c r="AE34" s="21">
        <f>-AE12*Hypotheses!$B$106</f>
        <v/>
      </c>
      <c r="AF34" s="21">
        <f>-AF12*Hypotheses!$B$106</f>
        <v/>
      </c>
      <c r="AG34" s="21">
        <f>-AG12*Hypotheses!$B$106</f>
        <v/>
      </c>
      <c r="AH34" s="21">
        <f>-AH12*Hypotheses!$B$106</f>
        <v/>
      </c>
      <c r="AI34" s="21">
        <f>-AI12*Hypotheses!$B$106</f>
        <v/>
      </c>
      <c r="AJ34" s="21">
        <f>-AJ12*Hypotheses!$B$106</f>
        <v/>
      </c>
      <c r="AK34" s="21">
        <f>-AK12*Hypotheses!$B$106</f>
        <v/>
      </c>
      <c r="AL34" s="21">
        <f>-AL12*Hypotheses!$B$106</f>
        <v/>
      </c>
      <c r="AM34" s="21">
        <f>-AM12*Hypotheses!$B$106</f>
        <v/>
      </c>
      <c r="AN34" s="21">
        <f>-AN12*Hypotheses!$B$106</f>
        <v/>
      </c>
      <c r="AO34" s="21">
        <f>-AO12*Hypotheses!$B$106</f>
        <v/>
      </c>
      <c r="AP34" s="21">
        <f>-AP12*Hypotheses!$B$106</f>
        <v/>
      </c>
      <c r="AQ34" s="21">
        <f>-AQ12*Hypotheses!$B$106</f>
        <v/>
      </c>
      <c r="AR34" s="21">
        <f>-AR12*Hypotheses!$B$106</f>
        <v/>
      </c>
      <c r="AS34" s="21">
        <f>-AS12*Hypotheses!$B$106</f>
        <v/>
      </c>
      <c r="AT34" s="21">
        <f>-AT12*Hypotheses!$B$106</f>
        <v/>
      </c>
      <c r="AU34" s="21">
        <f>-AU12*Hypotheses!$B$106</f>
        <v/>
      </c>
      <c r="AV34" s="21">
        <f>-AV12*Hypotheses!$B$106</f>
        <v/>
      </c>
      <c r="AW34" s="21">
        <f>-AW12*Hypotheses!$B$106</f>
        <v/>
      </c>
      <c r="AX34" s="21">
        <f>-AX12*Hypotheses!$B$106</f>
        <v/>
      </c>
      <c r="AY34" s="21">
        <f>-AY12*Hypotheses!$B$106</f>
        <v/>
      </c>
      <c r="AZ34" s="21">
        <f>-AZ12*Hypotheses!$B$106</f>
        <v/>
      </c>
      <c r="BA34" s="21">
        <f>-BA12*Hypotheses!$B$106</f>
        <v/>
      </c>
      <c r="BB34" s="21">
        <f>-BB12*Hypotheses!$B$106</f>
        <v/>
      </c>
      <c r="BC34" s="21">
        <f>-BC12*Hypotheses!$B$106</f>
        <v/>
      </c>
      <c r="BD34" s="21">
        <f>-BD12*Hypotheses!$B$106</f>
        <v/>
      </c>
      <c r="BE34" s="21">
        <f>-BE12*Hypotheses!$B$106</f>
        <v/>
      </c>
      <c r="BF34" s="21">
        <f>-BF12*Hypotheses!$B$106</f>
        <v/>
      </c>
      <c r="BG34" s="21">
        <f>-BG12*Hypotheses!$B$106</f>
        <v/>
      </c>
      <c r="BH34" s="21">
        <f>-BH12*Hypotheses!$B$106</f>
        <v/>
      </c>
      <c r="BI34" s="21">
        <f>-BI12*Hypotheses!$B$106</f>
        <v/>
      </c>
      <c r="BJ34" s="21">
        <f>-BJ12*Hypotheses!$B$106</f>
        <v/>
      </c>
    </row>
    <row r="35">
      <c r="A35" s="28" t="inlineStr">
        <is>
          <t>(−) Autres coûts de démarrage (une fois)</t>
        </is>
      </c>
      <c r="C35" s="21">
        <f>IF(C4=1,-Hypotheses!$B$35,0)</f>
        <v/>
      </c>
      <c r="D35" s="21">
        <f>IF(D4=1,-Hypotheses!$B$35,0)</f>
        <v/>
      </c>
      <c r="E35" s="21">
        <f>IF(E4=1,-Hypotheses!$B$35,0)</f>
        <v/>
      </c>
      <c r="F35" s="21">
        <f>IF(F4=1,-Hypotheses!$B$35,0)</f>
        <v/>
      </c>
      <c r="G35" s="21">
        <f>IF(G4=1,-Hypotheses!$B$35,0)</f>
        <v/>
      </c>
      <c r="H35" s="21">
        <f>IF(H4=1,-Hypotheses!$B$35,0)</f>
        <v/>
      </c>
      <c r="I35" s="21">
        <f>IF(I4=1,-Hypotheses!$B$35,0)</f>
        <v/>
      </c>
      <c r="J35" s="21">
        <f>IF(J4=1,-Hypotheses!$B$35,0)</f>
        <v/>
      </c>
      <c r="K35" s="21">
        <f>IF(K4=1,-Hypotheses!$B$35,0)</f>
        <v/>
      </c>
      <c r="L35" s="21">
        <f>IF(L4=1,-Hypotheses!$B$35,0)</f>
        <v/>
      </c>
      <c r="M35" s="21">
        <f>IF(M4=1,-Hypotheses!$B$35,0)</f>
        <v/>
      </c>
      <c r="N35" s="21">
        <f>IF(N4=1,-Hypotheses!$B$35,0)</f>
        <v/>
      </c>
      <c r="O35" s="21">
        <f>IF(O4=1,-Hypotheses!$B$35,0)</f>
        <v/>
      </c>
      <c r="P35" s="21">
        <f>IF(P4=1,-Hypotheses!$B$35,0)</f>
        <v/>
      </c>
      <c r="Q35" s="21">
        <f>IF(Q4=1,-Hypotheses!$B$35,0)</f>
        <v/>
      </c>
      <c r="R35" s="21">
        <f>IF(R4=1,-Hypotheses!$B$35,0)</f>
        <v/>
      </c>
      <c r="S35" s="21">
        <f>IF(S4=1,-Hypotheses!$B$35,0)</f>
        <v/>
      </c>
      <c r="T35" s="21">
        <f>IF(T4=1,-Hypotheses!$B$35,0)</f>
        <v/>
      </c>
      <c r="U35" s="21">
        <f>IF(U4=1,-Hypotheses!$B$35,0)</f>
        <v/>
      </c>
      <c r="V35" s="21">
        <f>IF(V4=1,-Hypotheses!$B$35,0)</f>
        <v/>
      </c>
      <c r="W35" s="21">
        <f>IF(W4=1,-Hypotheses!$B$35,0)</f>
        <v/>
      </c>
      <c r="X35" s="21">
        <f>IF(X4=1,-Hypotheses!$B$35,0)</f>
        <v/>
      </c>
      <c r="Y35" s="21">
        <f>IF(Y4=1,-Hypotheses!$B$35,0)</f>
        <v/>
      </c>
      <c r="Z35" s="21">
        <f>IF(Z4=1,-Hypotheses!$B$35,0)</f>
        <v/>
      </c>
      <c r="AA35" s="21">
        <f>IF(AA4=1,-Hypotheses!$B$35,0)</f>
        <v/>
      </c>
      <c r="AB35" s="21">
        <f>IF(AB4=1,-Hypotheses!$B$35,0)</f>
        <v/>
      </c>
      <c r="AC35" s="21">
        <f>IF(AC4=1,-Hypotheses!$B$35,0)</f>
        <v/>
      </c>
      <c r="AD35" s="21">
        <f>IF(AD4=1,-Hypotheses!$B$35,0)</f>
        <v/>
      </c>
      <c r="AE35" s="21">
        <f>IF(AE4=1,-Hypotheses!$B$35,0)</f>
        <v/>
      </c>
      <c r="AF35" s="21">
        <f>IF(AF4=1,-Hypotheses!$B$35,0)</f>
        <v/>
      </c>
      <c r="AG35" s="21">
        <f>IF(AG4=1,-Hypotheses!$B$35,0)</f>
        <v/>
      </c>
      <c r="AH35" s="21">
        <f>IF(AH4=1,-Hypotheses!$B$35,0)</f>
        <v/>
      </c>
      <c r="AI35" s="21">
        <f>IF(AI4=1,-Hypotheses!$B$35,0)</f>
        <v/>
      </c>
      <c r="AJ35" s="21">
        <f>IF(AJ4=1,-Hypotheses!$B$35,0)</f>
        <v/>
      </c>
      <c r="AK35" s="21">
        <f>IF(AK4=1,-Hypotheses!$B$35,0)</f>
        <v/>
      </c>
      <c r="AL35" s="21">
        <f>IF(AL4=1,-Hypotheses!$B$35,0)</f>
        <v/>
      </c>
      <c r="AM35" s="21">
        <f>IF(AM4=1,-Hypotheses!$B$35,0)</f>
        <v/>
      </c>
      <c r="AN35" s="21">
        <f>IF(AN4=1,-Hypotheses!$B$35,0)</f>
        <v/>
      </c>
      <c r="AO35" s="21">
        <f>IF(AO4=1,-Hypotheses!$B$35,0)</f>
        <v/>
      </c>
      <c r="AP35" s="21">
        <f>IF(AP4=1,-Hypotheses!$B$35,0)</f>
        <v/>
      </c>
      <c r="AQ35" s="21">
        <f>IF(AQ4=1,-Hypotheses!$B$35,0)</f>
        <v/>
      </c>
      <c r="AR35" s="21">
        <f>IF(AR4=1,-Hypotheses!$B$35,0)</f>
        <v/>
      </c>
      <c r="AS35" s="21">
        <f>IF(AS4=1,-Hypotheses!$B$35,0)</f>
        <v/>
      </c>
      <c r="AT35" s="21">
        <f>IF(AT4=1,-Hypotheses!$B$35,0)</f>
        <v/>
      </c>
      <c r="AU35" s="21">
        <f>IF(AU4=1,-Hypotheses!$B$35,0)</f>
        <v/>
      </c>
      <c r="AV35" s="21">
        <f>IF(AV4=1,-Hypotheses!$B$35,0)</f>
        <v/>
      </c>
      <c r="AW35" s="21">
        <f>IF(AW4=1,-Hypotheses!$B$35,0)</f>
        <v/>
      </c>
      <c r="AX35" s="21">
        <f>IF(AX4=1,-Hypotheses!$B$35,0)</f>
        <v/>
      </c>
      <c r="AY35" s="21">
        <f>IF(AY4=1,-Hypotheses!$B$35,0)</f>
        <v/>
      </c>
      <c r="AZ35" s="21">
        <f>IF(AZ4=1,-Hypotheses!$B$35,0)</f>
        <v/>
      </c>
      <c r="BA35" s="21">
        <f>IF(BA4=1,-Hypotheses!$B$35,0)</f>
        <v/>
      </c>
      <c r="BB35" s="21">
        <f>IF(BB4=1,-Hypotheses!$B$35,0)</f>
        <v/>
      </c>
      <c r="BC35" s="21">
        <f>IF(BC4=1,-Hypotheses!$B$35,0)</f>
        <v/>
      </c>
      <c r="BD35" s="21">
        <f>IF(BD4=1,-Hypotheses!$B$35,0)</f>
        <v/>
      </c>
      <c r="BE35" s="21">
        <f>IF(BE4=1,-Hypotheses!$B$35,0)</f>
        <v/>
      </c>
      <c r="BF35" s="21">
        <f>IF(BF4=1,-Hypotheses!$B$35,0)</f>
        <v/>
      </c>
      <c r="BG35" s="21">
        <f>IF(BG4=1,-Hypotheses!$B$35,0)</f>
        <v/>
      </c>
      <c r="BH35" s="21">
        <f>IF(BH4=1,-Hypotheses!$B$35,0)</f>
        <v/>
      </c>
      <c r="BI35" s="21">
        <f>IF(BI4=1,-Hypotheses!$B$35,0)</f>
        <v/>
      </c>
      <c r="BJ35" s="21">
        <f>IF(BJ4=1,-Hypotheses!$B$35,0)</f>
        <v/>
      </c>
    </row>
    <row r="36">
      <c r="A36" s="28" t="inlineStr">
        <is>
          <t>(−) Loyer</t>
        </is>
      </c>
      <c r="C36" s="21">
        <f>-Hypotheses!$B$27</f>
        <v/>
      </c>
      <c r="D36" s="21">
        <f>-Hypotheses!$B$27</f>
        <v/>
      </c>
      <c r="E36" s="21">
        <f>-Hypotheses!$B$27</f>
        <v/>
      </c>
      <c r="F36" s="21">
        <f>-Hypotheses!$B$27</f>
        <v/>
      </c>
      <c r="G36" s="21">
        <f>-Hypotheses!$B$27</f>
        <v/>
      </c>
      <c r="H36" s="21">
        <f>-Hypotheses!$B$27</f>
        <v/>
      </c>
      <c r="I36" s="21">
        <f>-Hypotheses!$B$27</f>
        <v/>
      </c>
      <c r="J36" s="21">
        <f>-Hypotheses!$B$27</f>
        <v/>
      </c>
      <c r="K36" s="21">
        <f>-Hypotheses!$B$27</f>
        <v/>
      </c>
      <c r="L36" s="21">
        <f>-Hypotheses!$B$27</f>
        <v/>
      </c>
      <c r="M36" s="21">
        <f>-Hypotheses!$B$27</f>
        <v/>
      </c>
      <c r="N36" s="21">
        <f>-Hypotheses!$B$27</f>
        <v/>
      </c>
      <c r="O36" s="21">
        <f>-Hypotheses!$B$27</f>
        <v/>
      </c>
      <c r="P36" s="21">
        <f>-Hypotheses!$B$27</f>
        <v/>
      </c>
      <c r="Q36" s="21">
        <f>-Hypotheses!$B$27</f>
        <v/>
      </c>
      <c r="R36" s="21">
        <f>-Hypotheses!$B$27</f>
        <v/>
      </c>
      <c r="S36" s="21">
        <f>-Hypotheses!$B$27</f>
        <v/>
      </c>
      <c r="T36" s="21">
        <f>-Hypotheses!$B$27</f>
        <v/>
      </c>
      <c r="U36" s="21">
        <f>-Hypotheses!$B$27</f>
        <v/>
      </c>
      <c r="V36" s="21">
        <f>-Hypotheses!$B$27</f>
        <v/>
      </c>
      <c r="W36" s="21">
        <f>-Hypotheses!$B$27</f>
        <v/>
      </c>
      <c r="X36" s="21">
        <f>-Hypotheses!$B$27</f>
        <v/>
      </c>
      <c r="Y36" s="21">
        <f>-Hypotheses!$B$27</f>
        <v/>
      </c>
      <c r="Z36" s="21">
        <f>-Hypotheses!$B$27</f>
        <v/>
      </c>
      <c r="AA36" s="21">
        <f>-Hypotheses!$B$27</f>
        <v/>
      </c>
      <c r="AB36" s="21">
        <f>-Hypotheses!$B$27</f>
        <v/>
      </c>
      <c r="AC36" s="21">
        <f>-Hypotheses!$B$27</f>
        <v/>
      </c>
      <c r="AD36" s="21">
        <f>-Hypotheses!$B$27</f>
        <v/>
      </c>
      <c r="AE36" s="21">
        <f>-Hypotheses!$B$27</f>
        <v/>
      </c>
      <c r="AF36" s="21">
        <f>-Hypotheses!$B$27</f>
        <v/>
      </c>
      <c r="AG36" s="21">
        <f>-Hypotheses!$B$27</f>
        <v/>
      </c>
      <c r="AH36" s="21">
        <f>-Hypotheses!$B$27</f>
        <v/>
      </c>
      <c r="AI36" s="21">
        <f>-Hypotheses!$B$27</f>
        <v/>
      </c>
      <c r="AJ36" s="21">
        <f>-Hypotheses!$B$27</f>
        <v/>
      </c>
      <c r="AK36" s="21">
        <f>-Hypotheses!$B$27</f>
        <v/>
      </c>
      <c r="AL36" s="21">
        <f>-Hypotheses!$B$27</f>
        <v/>
      </c>
      <c r="AM36" s="21">
        <f>-Hypotheses!$B$27</f>
        <v/>
      </c>
      <c r="AN36" s="21">
        <f>-Hypotheses!$B$27</f>
        <v/>
      </c>
      <c r="AO36" s="21">
        <f>-Hypotheses!$B$27</f>
        <v/>
      </c>
      <c r="AP36" s="21">
        <f>-Hypotheses!$B$27</f>
        <v/>
      </c>
      <c r="AQ36" s="21">
        <f>-Hypotheses!$B$27</f>
        <v/>
      </c>
      <c r="AR36" s="21">
        <f>-Hypotheses!$B$27</f>
        <v/>
      </c>
      <c r="AS36" s="21">
        <f>-Hypotheses!$B$27</f>
        <v/>
      </c>
      <c r="AT36" s="21">
        <f>-Hypotheses!$B$27</f>
        <v/>
      </c>
      <c r="AU36" s="21">
        <f>-Hypotheses!$B$27</f>
        <v/>
      </c>
      <c r="AV36" s="21">
        <f>-Hypotheses!$B$27</f>
        <v/>
      </c>
      <c r="AW36" s="21">
        <f>-Hypotheses!$B$27</f>
        <v/>
      </c>
      <c r="AX36" s="21">
        <f>-Hypotheses!$B$27</f>
        <v/>
      </c>
      <c r="AY36" s="21">
        <f>-Hypotheses!$B$27</f>
        <v/>
      </c>
      <c r="AZ36" s="21">
        <f>-Hypotheses!$B$27</f>
        <v/>
      </c>
      <c r="BA36" s="21">
        <f>-Hypotheses!$B$27</f>
        <v/>
      </c>
      <c r="BB36" s="21">
        <f>-Hypotheses!$B$27</f>
        <v/>
      </c>
      <c r="BC36" s="21">
        <f>-Hypotheses!$B$27</f>
        <v/>
      </c>
      <c r="BD36" s="21">
        <f>-Hypotheses!$B$27</f>
        <v/>
      </c>
      <c r="BE36" s="21">
        <f>-Hypotheses!$B$27</f>
        <v/>
      </c>
      <c r="BF36" s="21">
        <f>-Hypotheses!$B$27</f>
        <v/>
      </c>
      <c r="BG36" s="21">
        <f>-Hypotheses!$B$27</f>
        <v/>
      </c>
      <c r="BH36" s="21">
        <f>-Hypotheses!$B$27</f>
        <v/>
      </c>
      <c r="BI36" s="21">
        <f>-Hypotheses!$B$27</f>
        <v/>
      </c>
      <c r="BJ36" s="21">
        <f>-Hypotheses!$B$27</f>
        <v/>
      </c>
    </row>
    <row r="37">
      <c r="A37" s="28" t="inlineStr">
        <is>
          <t>(−) Autres charges fixes</t>
        </is>
      </c>
      <c r="C37" s="21">
        <f>-(Hypotheses!$B$31-Hypotheses!$B$27)</f>
        <v/>
      </c>
      <c r="D37" s="21">
        <f>-(Hypotheses!$B$31-Hypotheses!$B$27)</f>
        <v/>
      </c>
      <c r="E37" s="21">
        <f>-(Hypotheses!$B$31-Hypotheses!$B$27)</f>
        <v/>
      </c>
      <c r="F37" s="21">
        <f>-(Hypotheses!$B$31-Hypotheses!$B$27)</f>
        <v/>
      </c>
      <c r="G37" s="21">
        <f>-(Hypotheses!$B$31-Hypotheses!$B$27)</f>
        <v/>
      </c>
      <c r="H37" s="21">
        <f>-(Hypotheses!$B$31-Hypotheses!$B$27)</f>
        <v/>
      </c>
      <c r="I37" s="21">
        <f>-(Hypotheses!$B$31-Hypotheses!$B$27)</f>
        <v/>
      </c>
      <c r="J37" s="21">
        <f>-(Hypotheses!$B$31-Hypotheses!$B$27)</f>
        <v/>
      </c>
      <c r="K37" s="21">
        <f>-(Hypotheses!$B$31-Hypotheses!$B$27)</f>
        <v/>
      </c>
      <c r="L37" s="21">
        <f>-(Hypotheses!$B$31-Hypotheses!$B$27)</f>
        <v/>
      </c>
      <c r="M37" s="21">
        <f>-(Hypotheses!$B$31-Hypotheses!$B$27)</f>
        <v/>
      </c>
      <c r="N37" s="21">
        <f>-(Hypotheses!$B$31-Hypotheses!$B$27)</f>
        <v/>
      </c>
      <c r="O37" s="21">
        <f>-(Hypotheses!$B$31-Hypotheses!$B$27)</f>
        <v/>
      </c>
      <c r="P37" s="21">
        <f>-(Hypotheses!$B$31-Hypotheses!$B$27)</f>
        <v/>
      </c>
      <c r="Q37" s="21">
        <f>-(Hypotheses!$B$31-Hypotheses!$B$27)</f>
        <v/>
      </c>
      <c r="R37" s="21">
        <f>-(Hypotheses!$B$31-Hypotheses!$B$27)</f>
        <v/>
      </c>
      <c r="S37" s="21">
        <f>-(Hypotheses!$B$31-Hypotheses!$B$27)</f>
        <v/>
      </c>
      <c r="T37" s="21">
        <f>-(Hypotheses!$B$31-Hypotheses!$B$27)</f>
        <v/>
      </c>
      <c r="U37" s="21">
        <f>-(Hypotheses!$B$31-Hypotheses!$B$27)</f>
        <v/>
      </c>
      <c r="V37" s="21">
        <f>-(Hypotheses!$B$31-Hypotheses!$B$27)</f>
        <v/>
      </c>
      <c r="W37" s="21">
        <f>-(Hypotheses!$B$31-Hypotheses!$B$27)</f>
        <v/>
      </c>
      <c r="X37" s="21">
        <f>-(Hypotheses!$B$31-Hypotheses!$B$27)</f>
        <v/>
      </c>
      <c r="Y37" s="21">
        <f>-(Hypotheses!$B$31-Hypotheses!$B$27)</f>
        <v/>
      </c>
      <c r="Z37" s="21">
        <f>-(Hypotheses!$B$31-Hypotheses!$B$27)</f>
        <v/>
      </c>
      <c r="AA37" s="21">
        <f>-(Hypotheses!$B$31-Hypotheses!$B$27)</f>
        <v/>
      </c>
      <c r="AB37" s="21">
        <f>-(Hypotheses!$B$31-Hypotheses!$B$27)</f>
        <v/>
      </c>
      <c r="AC37" s="21">
        <f>-(Hypotheses!$B$31-Hypotheses!$B$27)</f>
        <v/>
      </c>
      <c r="AD37" s="21">
        <f>-(Hypotheses!$B$31-Hypotheses!$B$27)</f>
        <v/>
      </c>
      <c r="AE37" s="21">
        <f>-(Hypotheses!$B$31-Hypotheses!$B$27)</f>
        <v/>
      </c>
      <c r="AF37" s="21">
        <f>-(Hypotheses!$B$31-Hypotheses!$B$27)</f>
        <v/>
      </c>
      <c r="AG37" s="21">
        <f>-(Hypotheses!$B$31-Hypotheses!$B$27)</f>
        <v/>
      </c>
      <c r="AH37" s="21">
        <f>-(Hypotheses!$B$31-Hypotheses!$B$27)</f>
        <v/>
      </c>
      <c r="AI37" s="21">
        <f>-(Hypotheses!$B$31-Hypotheses!$B$27)</f>
        <v/>
      </c>
      <c r="AJ37" s="21">
        <f>-(Hypotheses!$B$31-Hypotheses!$B$27)</f>
        <v/>
      </c>
      <c r="AK37" s="21">
        <f>-(Hypotheses!$B$31-Hypotheses!$B$27)</f>
        <v/>
      </c>
      <c r="AL37" s="21">
        <f>-(Hypotheses!$B$31-Hypotheses!$B$27)</f>
        <v/>
      </c>
      <c r="AM37" s="21">
        <f>-(Hypotheses!$B$31-Hypotheses!$B$27)</f>
        <v/>
      </c>
      <c r="AN37" s="21">
        <f>-(Hypotheses!$B$31-Hypotheses!$B$27)</f>
        <v/>
      </c>
      <c r="AO37" s="21">
        <f>-(Hypotheses!$B$31-Hypotheses!$B$27)</f>
        <v/>
      </c>
      <c r="AP37" s="21">
        <f>-(Hypotheses!$B$31-Hypotheses!$B$27)</f>
        <v/>
      </c>
      <c r="AQ37" s="21">
        <f>-(Hypotheses!$B$31-Hypotheses!$B$27)</f>
        <v/>
      </c>
      <c r="AR37" s="21">
        <f>-(Hypotheses!$B$31-Hypotheses!$B$27)</f>
        <v/>
      </c>
      <c r="AS37" s="21">
        <f>-(Hypotheses!$B$31-Hypotheses!$B$27)</f>
        <v/>
      </c>
      <c r="AT37" s="21">
        <f>-(Hypotheses!$B$31-Hypotheses!$B$27)</f>
        <v/>
      </c>
      <c r="AU37" s="21">
        <f>-(Hypotheses!$B$31-Hypotheses!$B$27)</f>
        <v/>
      </c>
      <c r="AV37" s="21">
        <f>-(Hypotheses!$B$31-Hypotheses!$B$27)</f>
        <v/>
      </c>
      <c r="AW37" s="21">
        <f>-(Hypotheses!$B$31-Hypotheses!$B$27)</f>
        <v/>
      </c>
      <c r="AX37" s="21">
        <f>-(Hypotheses!$B$31-Hypotheses!$B$27)</f>
        <v/>
      </c>
      <c r="AY37" s="21">
        <f>-(Hypotheses!$B$31-Hypotheses!$B$27)</f>
        <v/>
      </c>
      <c r="AZ37" s="21">
        <f>-(Hypotheses!$B$31-Hypotheses!$B$27)</f>
        <v/>
      </c>
      <c r="BA37" s="21">
        <f>-(Hypotheses!$B$31-Hypotheses!$B$27)</f>
        <v/>
      </c>
      <c r="BB37" s="21">
        <f>-(Hypotheses!$B$31-Hypotheses!$B$27)</f>
        <v/>
      </c>
      <c r="BC37" s="21">
        <f>-(Hypotheses!$B$31-Hypotheses!$B$27)</f>
        <v/>
      </c>
      <c r="BD37" s="21">
        <f>-(Hypotheses!$B$31-Hypotheses!$B$27)</f>
        <v/>
      </c>
      <c r="BE37" s="21">
        <f>-(Hypotheses!$B$31-Hypotheses!$B$27)</f>
        <v/>
      </c>
      <c r="BF37" s="21">
        <f>-(Hypotheses!$B$31-Hypotheses!$B$27)</f>
        <v/>
      </c>
      <c r="BG37" s="21">
        <f>-(Hypotheses!$B$31-Hypotheses!$B$27)</f>
        <v/>
      </c>
      <c r="BH37" s="21">
        <f>-(Hypotheses!$B$31-Hypotheses!$B$27)</f>
        <v/>
      </c>
      <c r="BI37" s="21">
        <f>-(Hypotheses!$B$31-Hypotheses!$B$27)</f>
        <v/>
      </c>
      <c r="BJ37" s="21">
        <f>-(Hypotheses!$B$31-Hypotheses!$B$27)</f>
        <v/>
      </c>
    </row>
    <row r="38">
      <c r="A38" s="8" t="inlineStr">
        <is>
          <t>→ Résultat avant impôt</t>
        </is>
      </c>
      <c r="C38" s="11">
        <f>SUM(C29:C37)</f>
        <v/>
      </c>
      <c r="D38" s="11">
        <f>SUM(D29:D37)</f>
        <v/>
      </c>
      <c r="E38" s="11">
        <f>SUM(E29:E37)</f>
        <v/>
      </c>
      <c r="F38" s="11">
        <f>SUM(F29:F37)</f>
        <v/>
      </c>
      <c r="G38" s="11">
        <f>SUM(G29:G37)</f>
        <v/>
      </c>
      <c r="H38" s="11">
        <f>SUM(H29:H37)</f>
        <v/>
      </c>
      <c r="I38" s="11">
        <f>SUM(I29:I37)</f>
        <v/>
      </c>
      <c r="J38" s="11">
        <f>SUM(J29:J37)</f>
        <v/>
      </c>
      <c r="K38" s="11">
        <f>SUM(K29:K37)</f>
        <v/>
      </c>
      <c r="L38" s="11">
        <f>SUM(L29:L37)</f>
        <v/>
      </c>
      <c r="M38" s="11">
        <f>SUM(M29:M37)</f>
        <v/>
      </c>
      <c r="N38" s="11">
        <f>SUM(N29:N37)</f>
        <v/>
      </c>
      <c r="O38" s="11">
        <f>SUM(O29:O37)</f>
        <v/>
      </c>
      <c r="P38" s="11">
        <f>SUM(P29:P37)</f>
        <v/>
      </c>
      <c r="Q38" s="11">
        <f>SUM(Q29:Q37)</f>
        <v/>
      </c>
      <c r="R38" s="11">
        <f>SUM(R29:R37)</f>
        <v/>
      </c>
      <c r="S38" s="11">
        <f>SUM(S29:S37)</f>
        <v/>
      </c>
      <c r="T38" s="11">
        <f>SUM(T29:T37)</f>
        <v/>
      </c>
      <c r="U38" s="11">
        <f>SUM(U29:U37)</f>
        <v/>
      </c>
      <c r="V38" s="11">
        <f>SUM(V29:V37)</f>
        <v/>
      </c>
      <c r="W38" s="11">
        <f>SUM(W29:W37)</f>
        <v/>
      </c>
      <c r="X38" s="11">
        <f>SUM(X29:X37)</f>
        <v/>
      </c>
      <c r="Y38" s="11">
        <f>SUM(Y29:Y37)</f>
        <v/>
      </c>
      <c r="Z38" s="11">
        <f>SUM(Z29:Z37)</f>
        <v/>
      </c>
      <c r="AA38" s="11">
        <f>SUM(AA29:AA37)</f>
        <v/>
      </c>
      <c r="AB38" s="11">
        <f>SUM(AB29:AB37)</f>
        <v/>
      </c>
      <c r="AC38" s="11">
        <f>SUM(AC29:AC37)</f>
        <v/>
      </c>
      <c r="AD38" s="11">
        <f>SUM(AD29:AD37)</f>
        <v/>
      </c>
      <c r="AE38" s="11">
        <f>SUM(AE29:AE37)</f>
        <v/>
      </c>
      <c r="AF38" s="11">
        <f>SUM(AF29:AF37)</f>
        <v/>
      </c>
      <c r="AG38" s="11">
        <f>SUM(AG29:AG37)</f>
        <v/>
      </c>
      <c r="AH38" s="11">
        <f>SUM(AH29:AH37)</f>
        <v/>
      </c>
      <c r="AI38" s="11">
        <f>SUM(AI29:AI37)</f>
        <v/>
      </c>
      <c r="AJ38" s="11">
        <f>SUM(AJ29:AJ37)</f>
        <v/>
      </c>
      <c r="AK38" s="11">
        <f>SUM(AK29:AK37)</f>
        <v/>
      </c>
      <c r="AL38" s="11">
        <f>SUM(AL29:AL37)</f>
        <v/>
      </c>
      <c r="AM38" s="11">
        <f>SUM(AM29:AM37)</f>
        <v/>
      </c>
      <c r="AN38" s="11">
        <f>SUM(AN29:AN37)</f>
        <v/>
      </c>
      <c r="AO38" s="11">
        <f>SUM(AO29:AO37)</f>
        <v/>
      </c>
      <c r="AP38" s="11">
        <f>SUM(AP29:AP37)</f>
        <v/>
      </c>
      <c r="AQ38" s="11">
        <f>SUM(AQ29:AQ37)</f>
        <v/>
      </c>
      <c r="AR38" s="11">
        <f>SUM(AR29:AR37)</f>
        <v/>
      </c>
      <c r="AS38" s="11">
        <f>SUM(AS29:AS37)</f>
        <v/>
      </c>
      <c r="AT38" s="11">
        <f>SUM(AT29:AT37)</f>
        <v/>
      </c>
      <c r="AU38" s="11">
        <f>SUM(AU29:AU37)</f>
        <v/>
      </c>
      <c r="AV38" s="11">
        <f>SUM(AV29:AV37)</f>
        <v/>
      </c>
      <c r="AW38" s="11">
        <f>SUM(AW29:AW37)</f>
        <v/>
      </c>
      <c r="AX38" s="11">
        <f>SUM(AX29:AX37)</f>
        <v/>
      </c>
      <c r="AY38" s="11">
        <f>SUM(AY29:AY37)</f>
        <v/>
      </c>
      <c r="AZ38" s="11">
        <f>SUM(AZ29:AZ37)</f>
        <v/>
      </c>
      <c r="BA38" s="11">
        <f>SUM(BA29:BA37)</f>
        <v/>
      </c>
      <c r="BB38" s="11">
        <f>SUM(BB29:BB37)</f>
        <v/>
      </c>
      <c r="BC38" s="11">
        <f>SUM(BC29:BC37)</f>
        <v/>
      </c>
      <c r="BD38" s="11">
        <f>SUM(BD29:BD37)</f>
        <v/>
      </c>
      <c r="BE38" s="11">
        <f>SUM(BE29:BE37)</f>
        <v/>
      </c>
      <c r="BF38" s="11">
        <f>SUM(BF29:BF37)</f>
        <v/>
      </c>
      <c r="BG38" s="11">
        <f>SUM(BG29:BG37)</f>
        <v/>
      </c>
      <c r="BH38" s="11">
        <f>SUM(BH29:BH37)</f>
        <v/>
      </c>
      <c r="BI38" s="11">
        <f>SUM(BI29:BI37)</f>
        <v/>
      </c>
      <c r="BJ38" s="11">
        <f>SUM(BJ29:BJ37)</f>
        <v/>
      </c>
    </row>
    <row r="39">
      <c r="A39" s="28" t="inlineStr">
        <is>
          <t>(−) IS + taxe locale (impôt annuel réparti)</t>
        </is>
      </c>
      <c r="C39" s="21">
        <f>-IF(INDEX(Annuel!$B$24:$F$24,C6)&gt;0,INDEX(Annuel!$B$18:$F$18,C6)*IF(C38&gt;0,C38/INDEX(Annuel!$B$24:$F$24,C6),0),0)</f>
        <v/>
      </c>
      <c r="D39" s="21">
        <f>-IF(INDEX(Annuel!$B$24:$F$24,D6)&gt;0,INDEX(Annuel!$B$18:$F$18,D6)*IF(D38&gt;0,D38/INDEX(Annuel!$B$24:$F$24,D6),0),0)</f>
        <v/>
      </c>
      <c r="E39" s="21">
        <f>-IF(INDEX(Annuel!$B$24:$F$24,E6)&gt;0,INDEX(Annuel!$B$18:$F$18,E6)*IF(E38&gt;0,E38/INDEX(Annuel!$B$24:$F$24,E6),0),0)</f>
        <v/>
      </c>
      <c r="F39" s="21">
        <f>-IF(INDEX(Annuel!$B$24:$F$24,F6)&gt;0,INDEX(Annuel!$B$18:$F$18,F6)*IF(F38&gt;0,F38/INDEX(Annuel!$B$24:$F$24,F6),0),0)</f>
        <v/>
      </c>
      <c r="G39" s="21">
        <f>-IF(INDEX(Annuel!$B$24:$F$24,G6)&gt;0,INDEX(Annuel!$B$18:$F$18,G6)*IF(G38&gt;0,G38/INDEX(Annuel!$B$24:$F$24,G6),0),0)</f>
        <v/>
      </c>
      <c r="H39" s="21">
        <f>-IF(INDEX(Annuel!$B$24:$F$24,H6)&gt;0,INDEX(Annuel!$B$18:$F$18,H6)*IF(H38&gt;0,H38/INDEX(Annuel!$B$24:$F$24,H6),0),0)</f>
        <v/>
      </c>
      <c r="I39" s="21">
        <f>-IF(INDEX(Annuel!$B$24:$F$24,I6)&gt;0,INDEX(Annuel!$B$18:$F$18,I6)*IF(I38&gt;0,I38/INDEX(Annuel!$B$24:$F$24,I6),0),0)</f>
        <v/>
      </c>
      <c r="J39" s="21">
        <f>-IF(INDEX(Annuel!$B$24:$F$24,J6)&gt;0,INDEX(Annuel!$B$18:$F$18,J6)*IF(J38&gt;0,J38/INDEX(Annuel!$B$24:$F$24,J6),0),0)</f>
        <v/>
      </c>
      <c r="K39" s="21">
        <f>-IF(INDEX(Annuel!$B$24:$F$24,K6)&gt;0,INDEX(Annuel!$B$18:$F$18,K6)*IF(K38&gt;0,K38/INDEX(Annuel!$B$24:$F$24,K6),0),0)</f>
        <v/>
      </c>
      <c r="L39" s="21">
        <f>-IF(INDEX(Annuel!$B$24:$F$24,L6)&gt;0,INDEX(Annuel!$B$18:$F$18,L6)*IF(L38&gt;0,L38/INDEX(Annuel!$B$24:$F$24,L6),0),0)</f>
        <v/>
      </c>
      <c r="M39" s="21">
        <f>-IF(INDEX(Annuel!$B$24:$F$24,M6)&gt;0,INDEX(Annuel!$B$18:$F$18,M6)*IF(M38&gt;0,M38/INDEX(Annuel!$B$24:$F$24,M6),0),0)</f>
        <v/>
      </c>
      <c r="N39" s="21">
        <f>-IF(INDEX(Annuel!$B$24:$F$24,N6)&gt;0,INDEX(Annuel!$B$18:$F$18,N6)*IF(N38&gt;0,N38/INDEX(Annuel!$B$24:$F$24,N6),0),0)</f>
        <v/>
      </c>
      <c r="O39" s="21">
        <f>-IF(INDEX(Annuel!$B$24:$F$24,O6)&gt;0,INDEX(Annuel!$B$18:$F$18,O6)*IF(O38&gt;0,O38/INDEX(Annuel!$B$24:$F$24,O6),0),0)</f>
        <v/>
      </c>
      <c r="P39" s="21">
        <f>-IF(INDEX(Annuel!$B$24:$F$24,P6)&gt;0,INDEX(Annuel!$B$18:$F$18,P6)*IF(P38&gt;0,P38/INDEX(Annuel!$B$24:$F$24,P6),0),0)</f>
        <v/>
      </c>
      <c r="Q39" s="21">
        <f>-IF(INDEX(Annuel!$B$24:$F$24,Q6)&gt;0,INDEX(Annuel!$B$18:$F$18,Q6)*IF(Q38&gt;0,Q38/INDEX(Annuel!$B$24:$F$24,Q6),0),0)</f>
        <v/>
      </c>
      <c r="R39" s="21">
        <f>-IF(INDEX(Annuel!$B$24:$F$24,R6)&gt;0,INDEX(Annuel!$B$18:$F$18,R6)*IF(R38&gt;0,R38/INDEX(Annuel!$B$24:$F$24,R6),0),0)</f>
        <v/>
      </c>
      <c r="S39" s="21">
        <f>-IF(INDEX(Annuel!$B$24:$F$24,S6)&gt;0,INDEX(Annuel!$B$18:$F$18,S6)*IF(S38&gt;0,S38/INDEX(Annuel!$B$24:$F$24,S6),0),0)</f>
        <v/>
      </c>
      <c r="T39" s="21">
        <f>-IF(INDEX(Annuel!$B$24:$F$24,T6)&gt;0,INDEX(Annuel!$B$18:$F$18,T6)*IF(T38&gt;0,T38/INDEX(Annuel!$B$24:$F$24,T6),0),0)</f>
        <v/>
      </c>
      <c r="U39" s="21">
        <f>-IF(INDEX(Annuel!$B$24:$F$24,U6)&gt;0,INDEX(Annuel!$B$18:$F$18,U6)*IF(U38&gt;0,U38/INDEX(Annuel!$B$24:$F$24,U6),0),0)</f>
        <v/>
      </c>
      <c r="V39" s="21">
        <f>-IF(INDEX(Annuel!$B$24:$F$24,V6)&gt;0,INDEX(Annuel!$B$18:$F$18,V6)*IF(V38&gt;0,V38/INDEX(Annuel!$B$24:$F$24,V6),0),0)</f>
        <v/>
      </c>
      <c r="W39" s="21">
        <f>-IF(INDEX(Annuel!$B$24:$F$24,W6)&gt;0,INDEX(Annuel!$B$18:$F$18,W6)*IF(W38&gt;0,W38/INDEX(Annuel!$B$24:$F$24,W6),0),0)</f>
        <v/>
      </c>
      <c r="X39" s="21">
        <f>-IF(INDEX(Annuel!$B$24:$F$24,X6)&gt;0,INDEX(Annuel!$B$18:$F$18,X6)*IF(X38&gt;0,X38/INDEX(Annuel!$B$24:$F$24,X6),0),0)</f>
        <v/>
      </c>
      <c r="Y39" s="21">
        <f>-IF(INDEX(Annuel!$B$24:$F$24,Y6)&gt;0,INDEX(Annuel!$B$18:$F$18,Y6)*IF(Y38&gt;0,Y38/INDEX(Annuel!$B$24:$F$24,Y6),0),0)</f>
        <v/>
      </c>
      <c r="Z39" s="21">
        <f>-IF(INDEX(Annuel!$B$24:$F$24,Z6)&gt;0,INDEX(Annuel!$B$18:$F$18,Z6)*IF(Z38&gt;0,Z38/INDEX(Annuel!$B$24:$F$24,Z6),0),0)</f>
        <v/>
      </c>
      <c r="AA39" s="21">
        <f>-IF(INDEX(Annuel!$B$24:$F$24,AA6)&gt;0,INDEX(Annuel!$B$18:$F$18,AA6)*IF(AA38&gt;0,AA38/INDEX(Annuel!$B$24:$F$24,AA6),0),0)</f>
        <v/>
      </c>
      <c r="AB39" s="21">
        <f>-IF(INDEX(Annuel!$B$24:$F$24,AB6)&gt;0,INDEX(Annuel!$B$18:$F$18,AB6)*IF(AB38&gt;0,AB38/INDEX(Annuel!$B$24:$F$24,AB6),0),0)</f>
        <v/>
      </c>
      <c r="AC39" s="21">
        <f>-IF(INDEX(Annuel!$B$24:$F$24,AC6)&gt;0,INDEX(Annuel!$B$18:$F$18,AC6)*IF(AC38&gt;0,AC38/INDEX(Annuel!$B$24:$F$24,AC6),0),0)</f>
        <v/>
      </c>
      <c r="AD39" s="21">
        <f>-IF(INDEX(Annuel!$B$24:$F$24,AD6)&gt;0,INDEX(Annuel!$B$18:$F$18,AD6)*IF(AD38&gt;0,AD38/INDEX(Annuel!$B$24:$F$24,AD6),0),0)</f>
        <v/>
      </c>
      <c r="AE39" s="21">
        <f>-IF(INDEX(Annuel!$B$24:$F$24,AE6)&gt;0,INDEX(Annuel!$B$18:$F$18,AE6)*IF(AE38&gt;0,AE38/INDEX(Annuel!$B$24:$F$24,AE6),0),0)</f>
        <v/>
      </c>
      <c r="AF39" s="21">
        <f>-IF(INDEX(Annuel!$B$24:$F$24,AF6)&gt;0,INDEX(Annuel!$B$18:$F$18,AF6)*IF(AF38&gt;0,AF38/INDEX(Annuel!$B$24:$F$24,AF6),0),0)</f>
        <v/>
      </c>
      <c r="AG39" s="21">
        <f>-IF(INDEX(Annuel!$B$24:$F$24,AG6)&gt;0,INDEX(Annuel!$B$18:$F$18,AG6)*IF(AG38&gt;0,AG38/INDEX(Annuel!$B$24:$F$24,AG6),0),0)</f>
        <v/>
      </c>
      <c r="AH39" s="21">
        <f>-IF(INDEX(Annuel!$B$24:$F$24,AH6)&gt;0,INDEX(Annuel!$B$18:$F$18,AH6)*IF(AH38&gt;0,AH38/INDEX(Annuel!$B$24:$F$24,AH6),0),0)</f>
        <v/>
      </c>
      <c r="AI39" s="21">
        <f>-IF(INDEX(Annuel!$B$24:$F$24,AI6)&gt;0,INDEX(Annuel!$B$18:$F$18,AI6)*IF(AI38&gt;0,AI38/INDEX(Annuel!$B$24:$F$24,AI6),0),0)</f>
        <v/>
      </c>
      <c r="AJ39" s="21">
        <f>-IF(INDEX(Annuel!$B$24:$F$24,AJ6)&gt;0,INDEX(Annuel!$B$18:$F$18,AJ6)*IF(AJ38&gt;0,AJ38/INDEX(Annuel!$B$24:$F$24,AJ6),0),0)</f>
        <v/>
      </c>
      <c r="AK39" s="21">
        <f>-IF(INDEX(Annuel!$B$24:$F$24,AK6)&gt;0,INDEX(Annuel!$B$18:$F$18,AK6)*IF(AK38&gt;0,AK38/INDEX(Annuel!$B$24:$F$24,AK6),0),0)</f>
        <v/>
      </c>
      <c r="AL39" s="21">
        <f>-IF(INDEX(Annuel!$B$24:$F$24,AL6)&gt;0,INDEX(Annuel!$B$18:$F$18,AL6)*IF(AL38&gt;0,AL38/INDEX(Annuel!$B$24:$F$24,AL6),0),0)</f>
        <v/>
      </c>
      <c r="AM39" s="21">
        <f>-IF(INDEX(Annuel!$B$24:$F$24,AM6)&gt;0,INDEX(Annuel!$B$18:$F$18,AM6)*IF(AM38&gt;0,AM38/INDEX(Annuel!$B$24:$F$24,AM6),0),0)</f>
        <v/>
      </c>
      <c r="AN39" s="21">
        <f>-IF(INDEX(Annuel!$B$24:$F$24,AN6)&gt;0,INDEX(Annuel!$B$18:$F$18,AN6)*IF(AN38&gt;0,AN38/INDEX(Annuel!$B$24:$F$24,AN6),0),0)</f>
        <v/>
      </c>
      <c r="AO39" s="21">
        <f>-IF(INDEX(Annuel!$B$24:$F$24,AO6)&gt;0,INDEX(Annuel!$B$18:$F$18,AO6)*IF(AO38&gt;0,AO38/INDEX(Annuel!$B$24:$F$24,AO6),0),0)</f>
        <v/>
      </c>
      <c r="AP39" s="21">
        <f>-IF(INDEX(Annuel!$B$24:$F$24,AP6)&gt;0,INDEX(Annuel!$B$18:$F$18,AP6)*IF(AP38&gt;0,AP38/INDEX(Annuel!$B$24:$F$24,AP6),0),0)</f>
        <v/>
      </c>
      <c r="AQ39" s="21">
        <f>-IF(INDEX(Annuel!$B$24:$F$24,AQ6)&gt;0,INDEX(Annuel!$B$18:$F$18,AQ6)*IF(AQ38&gt;0,AQ38/INDEX(Annuel!$B$24:$F$24,AQ6),0),0)</f>
        <v/>
      </c>
      <c r="AR39" s="21">
        <f>-IF(INDEX(Annuel!$B$24:$F$24,AR6)&gt;0,INDEX(Annuel!$B$18:$F$18,AR6)*IF(AR38&gt;0,AR38/INDEX(Annuel!$B$24:$F$24,AR6),0),0)</f>
        <v/>
      </c>
      <c r="AS39" s="21">
        <f>-IF(INDEX(Annuel!$B$24:$F$24,AS6)&gt;0,INDEX(Annuel!$B$18:$F$18,AS6)*IF(AS38&gt;0,AS38/INDEX(Annuel!$B$24:$F$24,AS6),0),0)</f>
        <v/>
      </c>
      <c r="AT39" s="21">
        <f>-IF(INDEX(Annuel!$B$24:$F$24,AT6)&gt;0,INDEX(Annuel!$B$18:$F$18,AT6)*IF(AT38&gt;0,AT38/INDEX(Annuel!$B$24:$F$24,AT6),0),0)</f>
        <v/>
      </c>
      <c r="AU39" s="21">
        <f>-IF(INDEX(Annuel!$B$24:$F$24,AU6)&gt;0,INDEX(Annuel!$B$18:$F$18,AU6)*IF(AU38&gt;0,AU38/INDEX(Annuel!$B$24:$F$24,AU6),0),0)</f>
        <v/>
      </c>
      <c r="AV39" s="21">
        <f>-IF(INDEX(Annuel!$B$24:$F$24,AV6)&gt;0,INDEX(Annuel!$B$18:$F$18,AV6)*IF(AV38&gt;0,AV38/INDEX(Annuel!$B$24:$F$24,AV6),0),0)</f>
        <v/>
      </c>
      <c r="AW39" s="21">
        <f>-IF(INDEX(Annuel!$B$24:$F$24,AW6)&gt;0,INDEX(Annuel!$B$18:$F$18,AW6)*IF(AW38&gt;0,AW38/INDEX(Annuel!$B$24:$F$24,AW6),0),0)</f>
        <v/>
      </c>
      <c r="AX39" s="21">
        <f>-IF(INDEX(Annuel!$B$24:$F$24,AX6)&gt;0,INDEX(Annuel!$B$18:$F$18,AX6)*IF(AX38&gt;0,AX38/INDEX(Annuel!$B$24:$F$24,AX6),0),0)</f>
        <v/>
      </c>
      <c r="AY39" s="21">
        <f>-IF(INDEX(Annuel!$B$24:$F$24,AY6)&gt;0,INDEX(Annuel!$B$18:$F$18,AY6)*IF(AY38&gt;0,AY38/INDEX(Annuel!$B$24:$F$24,AY6),0),0)</f>
        <v/>
      </c>
      <c r="AZ39" s="21">
        <f>-IF(INDEX(Annuel!$B$24:$F$24,AZ6)&gt;0,INDEX(Annuel!$B$18:$F$18,AZ6)*IF(AZ38&gt;0,AZ38/INDEX(Annuel!$B$24:$F$24,AZ6),0),0)</f>
        <v/>
      </c>
      <c r="BA39" s="21">
        <f>-IF(INDEX(Annuel!$B$24:$F$24,BA6)&gt;0,INDEX(Annuel!$B$18:$F$18,BA6)*IF(BA38&gt;0,BA38/INDEX(Annuel!$B$24:$F$24,BA6),0),0)</f>
        <v/>
      </c>
      <c r="BB39" s="21">
        <f>-IF(INDEX(Annuel!$B$24:$F$24,BB6)&gt;0,INDEX(Annuel!$B$18:$F$18,BB6)*IF(BB38&gt;0,BB38/INDEX(Annuel!$B$24:$F$24,BB6),0),0)</f>
        <v/>
      </c>
      <c r="BC39" s="21">
        <f>-IF(INDEX(Annuel!$B$24:$F$24,BC6)&gt;0,INDEX(Annuel!$B$18:$F$18,BC6)*IF(BC38&gt;0,BC38/INDEX(Annuel!$B$24:$F$24,BC6),0),0)</f>
        <v/>
      </c>
      <c r="BD39" s="21">
        <f>-IF(INDEX(Annuel!$B$24:$F$24,BD6)&gt;0,INDEX(Annuel!$B$18:$F$18,BD6)*IF(BD38&gt;0,BD38/INDEX(Annuel!$B$24:$F$24,BD6),0),0)</f>
        <v/>
      </c>
      <c r="BE39" s="21">
        <f>-IF(INDEX(Annuel!$B$24:$F$24,BE6)&gt;0,INDEX(Annuel!$B$18:$F$18,BE6)*IF(BE38&gt;0,BE38/INDEX(Annuel!$B$24:$F$24,BE6),0),0)</f>
        <v/>
      </c>
      <c r="BF39" s="21">
        <f>-IF(INDEX(Annuel!$B$24:$F$24,BF6)&gt;0,INDEX(Annuel!$B$18:$F$18,BF6)*IF(BF38&gt;0,BF38/INDEX(Annuel!$B$24:$F$24,BF6),0),0)</f>
        <v/>
      </c>
      <c r="BG39" s="21">
        <f>-IF(INDEX(Annuel!$B$24:$F$24,BG6)&gt;0,INDEX(Annuel!$B$18:$F$18,BG6)*IF(BG38&gt;0,BG38/INDEX(Annuel!$B$24:$F$24,BG6),0),0)</f>
        <v/>
      </c>
      <c r="BH39" s="21">
        <f>-IF(INDEX(Annuel!$B$24:$F$24,BH6)&gt;0,INDEX(Annuel!$B$18:$F$18,BH6)*IF(BH38&gt;0,BH38/INDEX(Annuel!$B$24:$F$24,BH6),0),0)</f>
        <v/>
      </c>
      <c r="BI39" s="21">
        <f>-IF(INDEX(Annuel!$B$24:$F$24,BI6)&gt;0,INDEX(Annuel!$B$18:$F$18,BI6)*IF(BI38&gt;0,BI38/INDEX(Annuel!$B$24:$F$24,BI6),0),0)</f>
        <v/>
      </c>
      <c r="BJ39" s="21">
        <f>-IF(INDEX(Annuel!$B$24:$F$24,BJ6)&gt;0,INDEX(Annuel!$B$18:$F$18,BJ6)*IF(BJ38&gt;0,BJ38/INDEX(Annuel!$B$24:$F$24,BJ6),0),0)</f>
        <v/>
      </c>
    </row>
    <row r="40">
      <c r="A40" s="28" t="inlineStr">
        <is>
          <t>(−) Part investisseur 6 % (annuelle répartie)</t>
        </is>
      </c>
      <c r="C40" s="21">
        <f>-IF(INDEX(Annuel!$B$24:$F$24,C6)&gt;0,INDEX(Annuel!$B$21:$F$21,C6)*IF(C38&gt;0,C38/INDEX(Annuel!$B$24:$F$24,C6),0),0)</f>
        <v/>
      </c>
      <c r="D40" s="21">
        <f>-IF(INDEX(Annuel!$B$24:$F$24,D6)&gt;0,INDEX(Annuel!$B$21:$F$21,D6)*IF(D38&gt;0,D38/INDEX(Annuel!$B$24:$F$24,D6),0),0)</f>
        <v/>
      </c>
      <c r="E40" s="21">
        <f>-IF(INDEX(Annuel!$B$24:$F$24,E6)&gt;0,INDEX(Annuel!$B$21:$F$21,E6)*IF(E38&gt;0,E38/INDEX(Annuel!$B$24:$F$24,E6),0),0)</f>
        <v/>
      </c>
      <c r="F40" s="21">
        <f>-IF(INDEX(Annuel!$B$24:$F$24,F6)&gt;0,INDEX(Annuel!$B$21:$F$21,F6)*IF(F38&gt;0,F38/INDEX(Annuel!$B$24:$F$24,F6),0),0)</f>
        <v/>
      </c>
      <c r="G40" s="21">
        <f>-IF(INDEX(Annuel!$B$24:$F$24,G6)&gt;0,INDEX(Annuel!$B$21:$F$21,G6)*IF(G38&gt;0,G38/INDEX(Annuel!$B$24:$F$24,G6),0),0)</f>
        <v/>
      </c>
      <c r="H40" s="21">
        <f>-IF(INDEX(Annuel!$B$24:$F$24,H6)&gt;0,INDEX(Annuel!$B$21:$F$21,H6)*IF(H38&gt;0,H38/INDEX(Annuel!$B$24:$F$24,H6),0),0)</f>
        <v/>
      </c>
      <c r="I40" s="21">
        <f>-IF(INDEX(Annuel!$B$24:$F$24,I6)&gt;0,INDEX(Annuel!$B$21:$F$21,I6)*IF(I38&gt;0,I38/INDEX(Annuel!$B$24:$F$24,I6),0),0)</f>
        <v/>
      </c>
      <c r="J40" s="21">
        <f>-IF(INDEX(Annuel!$B$24:$F$24,J6)&gt;0,INDEX(Annuel!$B$21:$F$21,J6)*IF(J38&gt;0,J38/INDEX(Annuel!$B$24:$F$24,J6),0),0)</f>
        <v/>
      </c>
      <c r="K40" s="21">
        <f>-IF(INDEX(Annuel!$B$24:$F$24,K6)&gt;0,INDEX(Annuel!$B$21:$F$21,K6)*IF(K38&gt;0,K38/INDEX(Annuel!$B$24:$F$24,K6),0),0)</f>
        <v/>
      </c>
      <c r="L40" s="21">
        <f>-IF(INDEX(Annuel!$B$24:$F$24,L6)&gt;0,INDEX(Annuel!$B$21:$F$21,L6)*IF(L38&gt;0,L38/INDEX(Annuel!$B$24:$F$24,L6),0),0)</f>
        <v/>
      </c>
      <c r="M40" s="21">
        <f>-IF(INDEX(Annuel!$B$24:$F$24,M6)&gt;0,INDEX(Annuel!$B$21:$F$21,M6)*IF(M38&gt;0,M38/INDEX(Annuel!$B$24:$F$24,M6),0),0)</f>
        <v/>
      </c>
      <c r="N40" s="21">
        <f>-IF(INDEX(Annuel!$B$24:$F$24,N6)&gt;0,INDEX(Annuel!$B$21:$F$21,N6)*IF(N38&gt;0,N38/INDEX(Annuel!$B$24:$F$24,N6),0),0)</f>
        <v/>
      </c>
      <c r="O40" s="21">
        <f>-IF(INDEX(Annuel!$B$24:$F$24,O6)&gt;0,INDEX(Annuel!$B$21:$F$21,O6)*IF(O38&gt;0,O38/INDEX(Annuel!$B$24:$F$24,O6),0),0)</f>
        <v/>
      </c>
      <c r="P40" s="21">
        <f>-IF(INDEX(Annuel!$B$24:$F$24,P6)&gt;0,INDEX(Annuel!$B$21:$F$21,P6)*IF(P38&gt;0,P38/INDEX(Annuel!$B$24:$F$24,P6),0),0)</f>
        <v/>
      </c>
      <c r="Q40" s="21">
        <f>-IF(INDEX(Annuel!$B$24:$F$24,Q6)&gt;0,INDEX(Annuel!$B$21:$F$21,Q6)*IF(Q38&gt;0,Q38/INDEX(Annuel!$B$24:$F$24,Q6),0),0)</f>
        <v/>
      </c>
      <c r="R40" s="21">
        <f>-IF(INDEX(Annuel!$B$24:$F$24,R6)&gt;0,INDEX(Annuel!$B$21:$F$21,R6)*IF(R38&gt;0,R38/INDEX(Annuel!$B$24:$F$24,R6),0),0)</f>
        <v/>
      </c>
      <c r="S40" s="21">
        <f>-IF(INDEX(Annuel!$B$24:$F$24,S6)&gt;0,INDEX(Annuel!$B$21:$F$21,S6)*IF(S38&gt;0,S38/INDEX(Annuel!$B$24:$F$24,S6),0),0)</f>
        <v/>
      </c>
      <c r="T40" s="21">
        <f>-IF(INDEX(Annuel!$B$24:$F$24,T6)&gt;0,INDEX(Annuel!$B$21:$F$21,T6)*IF(T38&gt;0,T38/INDEX(Annuel!$B$24:$F$24,T6),0),0)</f>
        <v/>
      </c>
      <c r="U40" s="21">
        <f>-IF(INDEX(Annuel!$B$24:$F$24,U6)&gt;0,INDEX(Annuel!$B$21:$F$21,U6)*IF(U38&gt;0,U38/INDEX(Annuel!$B$24:$F$24,U6),0),0)</f>
        <v/>
      </c>
      <c r="V40" s="21">
        <f>-IF(INDEX(Annuel!$B$24:$F$24,V6)&gt;0,INDEX(Annuel!$B$21:$F$21,V6)*IF(V38&gt;0,V38/INDEX(Annuel!$B$24:$F$24,V6),0),0)</f>
        <v/>
      </c>
      <c r="W40" s="21">
        <f>-IF(INDEX(Annuel!$B$24:$F$24,W6)&gt;0,INDEX(Annuel!$B$21:$F$21,W6)*IF(W38&gt;0,W38/INDEX(Annuel!$B$24:$F$24,W6),0),0)</f>
        <v/>
      </c>
      <c r="X40" s="21">
        <f>-IF(INDEX(Annuel!$B$24:$F$24,X6)&gt;0,INDEX(Annuel!$B$21:$F$21,X6)*IF(X38&gt;0,X38/INDEX(Annuel!$B$24:$F$24,X6),0),0)</f>
        <v/>
      </c>
      <c r="Y40" s="21">
        <f>-IF(INDEX(Annuel!$B$24:$F$24,Y6)&gt;0,INDEX(Annuel!$B$21:$F$21,Y6)*IF(Y38&gt;0,Y38/INDEX(Annuel!$B$24:$F$24,Y6),0),0)</f>
        <v/>
      </c>
      <c r="Z40" s="21">
        <f>-IF(INDEX(Annuel!$B$24:$F$24,Z6)&gt;0,INDEX(Annuel!$B$21:$F$21,Z6)*IF(Z38&gt;0,Z38/INDEX(Annuel!$B$24:$F$24,Z6),0),0)</f>
        <v/>
      </c>
      <c r="AA40" s="21">
        <f>-IF(INDEX(Annuel!$B$24:$F$24,AA6)&gt;0,INDEX(Annuel!$B$21:$F$21,AA6)*IF(AA38&gt;0,AA38/INDEX(Annuel!$B$24:$F$24,AA6),0),0)</f>
        <v/>
      </c>
      <c r="AB40" s="21">
        <f>-IF(INDEX(Annuel!$B$24:$F$24,AB6)&gt;0,INDEX(Annuel!$B$21:$F$21,AB6)*IF(AB38&gt;0,AB38/INDEX(Annuel!$B$24:$F$24,AB6),0),0)</f>
        <v/>
      </c>
      <c r="AC40" s="21">
        <f>-IF(INDEX(Annuel!$B$24:$F$24,AC6)&gt;0,INDEX(Annuel!$B$21:$F$21,AC6)*IF(AC38&gt;0,AC38/INDEX(Annuel!$B$24:$F$24,AC6),0),0)</f>
        <v/>
      </c>
      <c r="AD40" s="21">
        <f>-IF(INDEX(Annuel!$B$24:$F$24,AD6)&gt;0,INDEX(Annuel!$B$21:$F$21,AD6)*IF(AD38&gt;0,AD38/INDEX(Annuel!$B$24:$F$24,AD6),0),0)</f>
        <v/>
      </c>
      <c r="AE40" s="21">
        <f>-IF(INDEX(Annuel!$B$24:$F$24,AE6)&gt;0,INDEX(Annuel!$B$21:$F$21,AE6)*IF(AE38&gt;0,AE38/INDEX(Annuel!$B$24:$F$24,AE6),0),0)</f>
        <v/>
      </c>
      <c r="AF40" s="21">
        <f>-IF(INDEX(Annuel!$B$24:$F$24,AF6)&gt;0,INDEX(Annuel!$B$21:$F$21,AF6)*IF(AF38&gt;0,AF38/INDEX(Annuel!$B$24:$F$24,AF6),0),0)</f>
        <v/>
      </c>
      <c r="AG40" s="21">
        <f>-IF(INDEX(Annuel!$B$24:$F$24,AG6)&gt;0,INDEX(Annuel!$B$21:$F$21,AG6)*IF(AG38&gt;0,AG38/INDEX(Annuel!$B$24:$F$24,AG6),0),0)</f>
        <v/>
      </c>
      <c r="AH40" s="21">
        <f>-IF(INDEX(Annuel!$B$24:$F$24,AH6)&gt;0,INDEX(Annuel!$B$21:$F$21,AH6)*IF(AH38&gt;0,AH38/INDEX(Annuel!$B$24:$F$24,AH6),0),0)</f>
        <v/>
      </c>
      <c r="AI40" s="21">
        <f>-IF(INDEX(Annuel!$B$24:$F$24,AI6)&gt;0,INDEX(Annuel!$B$21:$F$21,AI6)*IF(AI38&gt;0,AI38/INDEX(Annuel!$B$24:$F$24,AI6),0),0)</f>
        <v/>
      </c>
      <c r="AJ40" s="21">
        <f>-IF(INDEX(Annuel!$B$24:$F$24,AJ6)&gt;0,INDEX(Annuel!$B$21:$F$21,AJ6)*IF(AJ38&gt;0,AJ38/INDEX(Annuel!$B$24:$F$24,AJ6),0),0)</f>
        <v/>
      </c>
      <c r="AK40" s="21">
        <f>-IF(INDEX(Annuel!$B$24:$F$24,AK6)&gt;0,INDEX(Annuel!$B$21:$F$21,AK6)*IF(AK38&gt;0,AK38/INDEX(Annuel!$B$24:$F$24,AK6),0),0)</f>
        <v/>
      </c>
      <c r="AL40" s="21">
        <f>-IF(INDEX(Annuel!$B$24:$F$24,AL6)&gt;0,INDEX(Annuel!$B$21:$F$21,AL6)*IF(AL38&gt;0,AL38/INDEX(Annuel!$B$24:$F$24,AL6),0),0)</f>
        <v/>
      </c>
      <c r="AM40" s="21">
        <f>-IF(INDEX(Annuel!$B$24:$F$24,AM6)&gt;0,INDEX(Annuel!$B$21:$F$21,AM6)*IF(AM38&gt;0,AM38/INDEX(Annuel!$B$24:$F$24,AM6),0),0)</f>
        <v/>
      </c>
      <c r="AN40" s="21">
        <f>-IF(INDEX(Annuel!$B$24:$F$24,AN6)&gt;0,INDEX(Annuel!$B$21:$F$21,AN6)*IF(AN38&gt;0,AN38/INDEX(Annuel!$B$24:$F$24,AN6),0),0)</f>
        <v/>
      </c>
      <c r="AO40" s="21">
        <f>-IF(INDEX(Annuel!$B$24:$F$24,AO6)&gt;0,INDEX(Annuel!$B$21:$F$21,AO6)*IF(AO38&gt;0,AO38/INDEX(Annuel!$B$24:$F$24,AO6),0),0)</f>
        <v/>
      </c>
      <c r="AP40" s="21">
        <f>-IF(INDEX(Annuel!$B$24:$F$24,AP6)&gt;0,INDEX(Annuel!$B$21:$F$21,AP6)*IF(AP38&gt;0,AP38/INDEX(Annuel!$B$24:$F$24,AP6),0),0)</f>
        <v/>
      </c>
      <c r="AQ40" s="21">
        <f>-IF(INDEX(Annuel!$B$24:$F$24,AQ6)&gt;0,INDEX(Annuel!$B$21:$F$21,AQ6)*IF(AQ38&gt;0,AQ38/INDEX(Annuel!$B$24:$F$24,AQ6),0),0)</f>
        <v/>
      </c>
      <c r="AR40" s="21">
        <f>-IF(INDEX(Annuel!$B$24:$F$24,AR6)&gt;0,INDEX(Annuel!$B$21:$F$21,AR6)*IF(AR38&gt;0,AR38/INDEX(Annuel!$B$24:$F$24,AR6),0),0)</f>
        <v/>
      </c>
      <c r="AS40" s="21">
        <f>-IF(INDEX(Annuel!$B$24:$F$24,AS6)&gt;0,INDEX(Annuel!$B$21:$F$21,AS6)*IF(AS38&gt;0,AS38/INDEX(Annuel!$B$24:$F$24,AS6),0),0)</f>
        <v/>
      </c>
      <c r="AT40" s="21">
        <f>-IF(INDEX(Annuel!$B$24:$F$24,AT6)&gt;0,INDEX(Annuel!$B$21:$F$21,AT6)*IF(AT38&gt;0,AT38/INDEX(Annuel!$B$24:$F$24,AT6),0),0)</f>
        <v/>
      </c>
      <c r="AU40" s="21">
        <f>-IF(INDEX(Annuel!$B$24:$F$24,AU6)&gt;0,INDEX(Annuel!$B$21:$F$21,AU6)*IF(AU38&gt;0,AU38/INDEX(Annuel!$B$24:$F$24,AU6),0),0)</f>
        <v/>
      </c>
      <c r="AV40" s="21">
        <f>-IF(INDEX(Annuel!$B$24:$F$24,AV6)&gt;0,INDEX(Annuel!$B$21:$F$21,AV6)*IF(AV38&gt;0,AV38/INDEX(Annuel!$B$24:$F$24,AV6),0),0)</f>
        <v/>
      </c>
      <c r="AW40" s="21">
        <f>-IF(INDEX(Annuel!$B$24:$F$24,AW6)&gt;0,INDEX(Annuel!$B$21:$F$21,AW6)*IF(AW38&gt;0,AW38/INDEX(Annuel!$B$24:$F$24,AW6),0),0)</f>
        <v/>
      </c>
      <c r="AX40" s="21">
        <f>-IF(INDEX(Annuel!$B$24:$F$24,AX6)&gt;0,INDEX(Annuel!$B$21:$F$21,AX6)*IF(AX38&gt;0,AX38/INDEX(Annuel!$B$24:$F$24,AX6),0),0)</f>
        <v/>
      </c>
      <c r="AY40" s="21">
        <f>-IF(INDEX(Annuel!$B$24:$F$24,AY6)&gt;0,INDEX(Annuel!$B$21:$F$21,AY6)*IF(AY38&gt;0,AY38/INDEX(Annuel!$B$24:$F$24,AY6),0),0)</f>
        <v/>
      </c>
      <c r="AZ40" s="21">
        <f>-IF(INDEX(Annuel!$B$24:$F$24,AZ6)&gt;0,INDEX(Annuel!$B$21:$F$21,AZ6)*IF(AZ38&gt;0,AZ38/INDEX(Annuel!$B$24:$F$24,AZ6),0),0)</f>
        <v/>
      </c>
      <c r="BA40" s="21">
        <f>-IF(INDEX(Annuel!$B$24:$F$24,BA6)&gt;0,INDEX(Annuel!$B$21:$F$21,BA6)*IF(BA38&gt;0,BA38/INDEX(Annuel!$B$24:$F$24,BA6),0),0)</f>
        <v/>
      </c>
      <c r="BB40" s="21">
        <f>-IF(INDEX(Annuel!$B$24:$F$24,BB6)&gt;0,INDEX(Annuel!$B$21:$F$21,BB6)*IF(BB38&gt;0,BB38/INDEX(Annuel!$B$24:$F$24,BB6),0),0)</f>
        <v/>
      </c>
      <c r="BC40" s="21">
        <f>-IF(INDEX(Annuel!$B$24:$F$24,BC6)&gt;0,INDEX(Annuel!$B$21:$F$21,BC6)*IF(BC38&gt;0,BC38/INDEX(Annuel!$B$24:$F$24,BC6),0),0)</f>
        <v/>
      </c>
      <c r="BD40" s="21">
        <f>-IF(INDEX(Annuel!$B$24:$F$24,BD6)&gt;0,INDEX(Annuel!$B$21:$F$21,BD6)*IF(BD38&gt;0,BD38/INDEX(Annuel!$B$24:$F$24,BD6),0),0)</f>
        <v/>
      </c>
      <c r="BE40" s="21">
        <f>-IF(INDEX(Annuel!$B$24:$F$24,BE6)&gt;0,INDEX(Annuel!$B$21:$F$21,BE6)*IF(BE38&gt;0,BE38/INDEX(Annuel!$B$24:$F$24,BE6),0),0)</f>
        <v/>
      </c>
      <c r="BF40" s="21">
        <f>-IF(INDEX(Annuel!$B$24:$F$24,BF6)&gt;0,INDEX(Annuel!$B$21:$F$21,BF6)*IF(BF38&gt;0,BF38/INDEX(Annuel!$B$24:$F$24,BF6),0),0)</f>
        <v/>
      </c>
      <c r="BG40" s="21">
        <f>-IF(INDEX(Annuel!$B$24:$F$24,BG6)&gt;0,INDEX(Annuel!$B$21:$F$21,BG6)*IF(BG38&gt;0,BG38/INDEX(Annuel!$B$24:$F$24,BG6),0),0)</f>
        <v/>
      </c>
      <c r="BH40" s="21">
        <f>-IF(INDEX(Annuel!$B$24:$F$24,BH6)&gt;0,INDEX(Annuel!$B$21:$F$21,BH6)*IF(BH38&gt;0,BH38/INDEX(Annuel!$B$24:$F$24,BH6),0),0)</f>
        <v/>
      </c>
      <c r="BI40" s="21">
        <f>-IF(INDEX(Annuel!$B$24:$F$24,BI6)&gt;0,INDEX(Annuel!$B$21:$F$21,BI6)*IF(BI38&gt;0,BI38/INDEX(Annuel!$B$24:$F$24,BI6),0),0)</f>
        <v/>
      </c>
      <c r="BJ40" s="21">
        <f>-IF(INDEX(Annuel!$B$24:$F$24,BJ6)&gt;0,INDEX(Annuel!$B$21:$F$21,BJ6)*IF(BJ38&gt;0,BJ38/INDEX(Annuel!$B$24:$F$24,BJ6),0),0)</f>
        <v/>
      </c>
    </row>
    <row r="41">
      <c r="A41" s="8" t="inlineStr">
        <is>
          <t>→ Bénéfice net</t>
        </is>
      </c>
      <c r="C41" s="49">
        <f>C38+C39+C40</f>
        <v/>
      </c>
      <c r="D41" s="49">
        <f>D38+D39+D40</f>
        <v/>
      </c>
      <c r="E41" s="49">
        <f>E38+E39+E40</f>
        <v/>
      </c>
      <c r="F41" s="49">
        <f>F38+F39+F40</f>
        <v/>
      </c>
      <c r="G41" s="49">
        <f>G38+G39+G40</f>
        <v/>
      </c>
      <c r="H41" s="49">
        <f>H38+H39+H40</f>
        <v/>
      </c>
      <c r="I41" s="49">
        <f>I38+I39+I40</f>
        <v/>
      </c>
      <c r="J41" s="49">
        <f>J38+J39+J40</f>
        <v/>
      </c>
      <c r="K41" s="49">
        <f>K38+K39+K40</f>
        <v/>
      </c>
      <c r="L41" s="49">
        <f>L38+L39+L40</f>
        <v/>
      </c>
      <c r="M41" s="49">
        <f>M38+M39+M40</f>
        <v/>
      </c>
      <c r="N41" s="49">
        <f>N38+N39+N40</f>
        <v/>
      </c>
      <c r="O41" s="49">
        <f>O38+O39+O40</f>
        <v/>
      </c>
      <c r="P41" s="49">
        <f>P38+P39+P40</f>
        <v/>
      </c>
      <c r="Q41" s="49">
        <f>Q38+Q39+Q40</f>
        <v/>
      </c>
      <c r="R41" s="49">
        <f>R38+R39+R40</f>
        <v/>
      </c>
      <c r="S41" s="49">
        <f>S38+S39+S40</f>
        <v/>
      </c>
      <c r="T41" s="49">
        <f>T38+T39+T40</f>
        <v/>
      </c>
      <c r="U41" s="49">
        <f>U38+U39+U40</f>
        <v/>
      </c>
      <c r="V41" s="49">
        <f>V38+V39+V40</f>
        <v/>
      </c>
      <c r="W41" s="49">
        <f>W38+W39+W40</f>
        <v/>
      </c>
      <c r="X41" s="49">
        <f>X38+X39+X40</f>
        <v/>
      </c>
      <c r="Y41" s="49">
        <f>Y38+Y39+Y40</f>
        <v/>
      </c>
      <c r="Z41" s="49">
        <f>Z38+Z39+Z40</f>
        <v/>
      </c>
      <c r="AA41" s="49">
        <f>AA38+AA39+AA40</f>
        <v/>
      </c>
      <c r="AB41" s="49">
        <f>AB38+AB39+AB40</f>
        <v/>
      </c>
      <c r="AC41" s="49">
        <f>AC38+AC39+AC40</f>
        <v/>
      </c>
      <c r="AD41" s="49">
        <f>AD38+AD39+AD40</f>
        <v/>
      </c>
      <c r="AE41" s="49">
        <f>AE38+AE39+AE40</f>
        <v/>
      </c>
      <c r="AF41" s="49">
        <f>AF38+AF39+AF40</f>
        <v/>
      </c>
      <c r="AG41" s="49">
        <f>AG38+AG39+AG40</f>
        <v/>
      </c>
      <c r="AH41" s="49">
        <f>AH38+AH39+AH40</f>
        <v/>
      </c>
      <c r="AI41" s="49">
        <f>AI38+AI39+AI40</f>
        <v/>
      </c>
      <c r="AJ41" s="49">
        <f>AJ38+AJ39+AJ40</f>
        <v/>
      </c>
      <c r="AK41" s="49">
        <f>AK38+AK39+AK40</f>
        <v/>
      </c>
      <c r="AL41" s="49">
        <f>AL38+AL39+AL40</f>
        <v/>
      </c>
      <c r="AM41" s="49">
        <f>AM38+AM39+AM40</f>
        <v/>
      </c>
      <c r="AN41" s="49">
        <f>AN38+AN39+AN40</f>
        <v/>
      </c>
      <c r="AO41" s="49">
        <f>AO38+AO39+AO40</f>
        <v/>
      </c>
      <c r="AP41" s="49">
        <f>AP38+AP39+AP40</f>
        <v/>
      </c>
      <c r="AQ41" s="49">
        <f>AQ38+AQ39+AQ40</f>
        <v/>
      </c>
      <c r="AR41" s="49">
        <f>AR38+AR39+AR40</f>
        <v/>
      </c>
      <c r="AS41" s="49">
        <f>AS38+AS39+AS40</f>
        <v/>
      </c>
      <c r="AT41" s="49">
        <f>AT38+AT39+AT40</f>
        <v/>
      </c>
      <c r="AU41" s="49">
        <f>AU38+AU39+AU40</f>
        <v/>
      </c>
      <c r="AV41" s="49">
        <f>AV38+AV39+AV40</f>
        <v/>
      </c>
      <c r="AW41" s="49">
        <f>AW38+AW39+AW40</f>
        <v/>
      </c>
      <c r="AX41" s="49">
        <f>AX38+AX39+AX40</f>
        <v/>
      </c>
      <c r="AY41" s="49">
        <f>AY38+AY39+AY40</f>
        <v/>
      </c>
      <c r="AZ41" s="49">
        <f>AZ38+AZ39+AZ40</f>
        <v/>
      </c>
      <c r="BA41" s="49">
        <f>BA38+BA39+BA40</f>
        <v/>
      </c>
      <c r="BB41" s="49">
        <f>BB38+BB39+BB40</f>
        <v/>
      </c>
      <c r="BC41" s="49">
        <f>BC38+BC39+BC40</f>
        <v/>
      </c>
      <c r="BD41" s="49">
        <f>BD38+BD39+BD40</f>
        <v/>
      </c>
      <c r="BE41" s="49">
        <f>BE38+BE39+BE40</f>
        <v/>
      </c>
      <c r="BF41" s="49">
        <f>BF38+BF39+BF40</f>
        <v/>
      </c>
      <c r="BG41" s="49">
        <f>BG38+BG39+BG40</f>
        <v/>
      </c>
      <c r="BH41" s="49">
        <f>BH38+BH39+BH40</f>
        <v/>
      </c>
      <c r="BI41" s="49">
        <f>BI38+BI39+BI40</f>
        <v/>
      </c>
      <c r="BJ41" s="49">
        <f>BJ38+BJ39+BJ40</f>
        <v/>
      </c>
    </row>
    <row r="42">
      <c r="A42" s="28" t="inlineStr">
        <is>
          <t>Bénéfice net cumulé</t>
        </is>
      </c>
      <c r="C42" s="21">
        <f>C41</f>
        <v/>
      </c>
      <c r="D42" s="21">
        <f>C42+D41</f>
        <v/>
      </c>
      <c r="E42" s="21">
        <f>D42+E41</f>
        <v/>
      </c>
      <c r="F42" s="21">
        <f>E42+F41</f>
        <v/>
      </c>
      <c r="G42" s="21">
        <f>F42+G41</f>
        <v/>
      </c>
      <c r="H42" s="21">
        <f>G42+H41</f>
        <v/>
      </c>
      <c r="I42" s="21">
        <f>H42+I41</f>
        <v/>
      </c>
      <c r="J42" s="21">
        <f>I42+J41</f>
        <v/>
      </c>
      <c r="K42" s="21">
        <f>J42+K41</f>
        <v/>
      </c>
      <c r="L42" s="21">
        <f>K42+L41</f>
        <v/>
      </c>
      <c r="M42" s="21">
        <f>L42+M41</f>
        <v/>
      </c>
      <c r="N42" s="21">
        <f>M42+N41</f>
        <v/>
      </c>
      <c r="O42" s="21">
        <f>N42+O41</f>
        <v/>
      </c>
      <c r="P42" s="21">
        <f>O42+P41</f>
        <v/>
      </c>
      <c r="Q42" s="21">
        <f>P42+Q41</f>
        <v/>
      </c>
      <c r="R42" s="21">
        <f>Q42+R41</f>
        <v/>
      </c>
      <c r="S42" s="21">
        <f>R42+S41</f>
        <v/>
      </c>
      <c r="T42" s="21">
        <f>S42+T41</f>
        <v/>
      </c>
      <c r="U42" s="21">
        <f>T42+U41</f>
        <v/>
      </c>
      <c r="V42" s="21">
        <f>U42+V41</f>
        <v/>
      </c>
      <c r="W42" s="21">
        <f>V42+W41</f>
        <v/>
      </c>
      <c r="X42" s="21">
        <f>W42+X41</f>
        <v/>
      </c>
      <c r="Y42" s="21">
        <f>X42+Y41</f>
        <v/>
      </c>
      <c r="Z42" s="21">
        <f>Y42+Z41</f>
        <v/>
      </c>
      <c r="AA42" s="21">
        <f>Z42+AA41</f>
        <v/>
      </c>
      <c r="AB42" s="21">
        <f>AA42+AB41</f>
        <v/>
      </c>
      <c r="AC42" s="21">
        <f>AB42+AC41</f>
        <v/>
      </c>
      <c r="AD42" s="21">
        <f>AC42+AD41</f>
        <v/>
      </c>
      <c r="AE42" s="21">
        <f>AD42+AE41</f>
        <v/>
      </c>
      <c r="AF42" s="21">
        <f>AE42+AF41</f>
        <v/>
      </c>
      <c r="AG42" s="21">
        <f>AF42+AG41</f>
        <v/>
      </c>
      <c r="AH42" s="21">
        <f>AG42+AH41</f>
        <v/>
      </c>
      <c r="AI42" s="21">
        <f>AH42+AI41</f>
        <v/>
      </c>
      <c r="AJ42" s="21">
        <f>AI42+AJ41</f>
        <v/>
      </c>
      <c r="AK42" s="21">
        <f>AJ42+AK41</f>
        <v/>
      </c>
      <c r="AL42" s="21">
        <f>AK42+AL41</f>
        <v/>
      </c>
      <c r="AM42" s="21">
        <f>AL42+AM41</f>
        <v/>
      </c>
      <c r="AN42" s="21">
        <f>AM42+AN41</f>
        <v/>
      </c>
      <c r="AO42" s="21">
        <f>AN42+AO41</f>
        <v/>
      </c>
      <c r="AP42" s="21">
        <f>AO42+AP41</f>
        <v/>
      </c>
      <c r="AQ42" s="21">
        <f>AP42+AQ41</f>
        <v/>
      </c>
      <c r="AR42" s="21">
        <f>AQ42+AR41</f>
        <v/>
      </c>
      <c r="AS42" s="21">
        <f>AR42+AS41</f>
        <v/>
      </c>
      <c r="AT42" s="21">
        <f>AS42+AT41</f>
        <v/>
      </c>
      <c r="AU42" s="21">
        <f>AT42+AU41</f>
        <v/>
      </c>
      <c r="AV42" s="21">
        <f>AU42+AV41</f>
        <v/>
      </c>
      <c r="AW42" s="21">
        <f>AV42+AW41</f>
        <v/>
      </c>
      <c r="AX42" s="21">
        <f>AW42+AX41</f>
        <v/>
      </c>
      <c r="AY42" s="21">
        <f>AX42+AY41</f>
        <v/>
      </c>
      <c r="AZ42" s="21">
        <f>AY42+AZ41</f>
        <v/>
      </c>
      <c r="BA42" s="21">
        <f>AZ42+BA41</f>
        <v/>
      </c>
      <c r="BB42" s="21">
        <f>BA42+BB41</f>
        <v/>
      </c>
      <c r="BC42" s="21">
        <f>BB42+BC41</f>
        <v/>
      </c>
      <c r="BD42" s="21">
        <f>BC42+BD41</f>
        <v/>
      </c>
      <c r="BE42" s="21">
        <f>BD42+BE41</f>
        <v/>
      </c>
      <c r="BF42" s="21">
        <f>BE42+BF41</f>
        <v/>
      </c>
      <c r="BG42" s="21">
        <f>BF42+BG41</f>
        <v/>
      </c>
      <c r="BH42" s="21">
        <f>BG42+BH41</f>
        <v/>
      </c>
      <c r="BI42" s="21">
        <f>BH42+BI41</f>
        <v/>
      </c>
      <c r="BJ42" s="21">
        <f>BI42+BJ41</f>
        <v/>
      </c>
    </row>
    <row r="43">
      <c r="A43" s="28" t="inlineStr">
        <is>
          <t>Dépôt de garantie (sortie de trésorerie, pas une charge)</t>
        </is>
      </c>
      <c r="C43" s="21">
        <f>IF(C4=1,-Hypotheses!$B$34,0)</f>
        <v/>
      </c>
      <c r="D43" s="21">
        <f>IF(D4=1,-Hypotheses!$B$34,0)</f>
        <v/>
      </c>
      <c r="E43" s="21">
        <f>IF(E4=1,-Hypotheses!$B$34,0)</f>
        <v/>
      </c>
      <c r="F43" s="21">
        <f>IF(F4=1,-Hypotheses!$B$34,0)</f>
        <v/>
      </c>
      <c r="G43" s="21">
        <f>IF(G4=1,-Hypotheses!$B$34,0)</f>
        <v/>
      </c>
      <c r="H43" s="21">
        <f>IF(H4=1,-Hypotheses!$B$34,0)</f>
        <v/>
      </c>
      <c r="I43" s="21">
        <f>IF(I4=1,-Hypotheses!$B$34,0)</f>
        <v/>
      </c>
      <c r="J43" s="21">
        <f>IF(J4=1,-Hypotheses!$B$34,0)</f>
        <v/>
      </c>
      <c r="K43" s="21">
        <f>IF(K4=1,-Hypotheses!$B$34,0)</f>
        <v/>
      </c>
      <c r="L43" s="21">
        <f>IF(L4=1,-Hypotheses!$B$34,0)</f>
        <v/>
      </c>
      <c r="M43" s="21">
        <f>IF(M4=1,-Hypotheses!$B$34,0)</f>
        <v/>
      </c>
      <c r="N43" s="21">
        <f>IF(N4=1,-Hypotheses!$B$34,0)</f>
        <v/>
      </c>
      <c r="O43" s="21">
        <f>IF(O4=1,-Hypotheses!$B$34,0)</f>
        <v/>
      </c>
      <c r="P43" s="21">
        <f>IF(P4=1,-Hypotheses!$B$34,0)</f>
        <v/>
      </c>
      <c r="Q43" s="21">
        <f>IF(Q4=1,-Hypotheses!$B$34,0)</f>
        <v/>
      </c>
      <c r="R43" s="21">
        <f>IF(R4=1,-Hypotheses!$B$34,0)</f>
        <v/>
      </c>
      <c r="S43" s="21">
        <f>IF(S4=1,-Hypotheses!$B$34,0)</f>
        <v/>
      </c>
      <c r="T43" s="21">
        <f>IF(T4=1,-Hypotheses!$B$34,0)</f>
        <v/>
      </c>
      <c r="U43" s="21">
        <f>IF(U4=1,-Hypotheses!$B$34,0)</f>
        <v/>
      </c>
      <c r="V43" s="21">
        <f>IF(V4=1,-Hypotheses!$B$34,0)</f>
        <v/>
      </c>
      <c r="W43" s="21">
        <f>IF(W4=1,-Hypotheses!$B$34,0)</f>
        <v/>
      </c>
      <c r="X43" s="21">
        <f>IF(X4=1,-Hypotheses!$B$34,0)</f>
        <v/>
      </c>
      <c r="Y43" s="21">
        <f>IF(Y4=1,-Hypotheses!$B$34,0)</f>
        <v/>
      </c>
      <c r="Z43" s="21">
        <f>IF(Z4=1,-Hypotheses!$B$34,0)</f>
        <v/>
      </c>
      <c r="AA43" s="21">
        <f>IF(AA4=1,-Hypotheses!$B$34,0)</f>
        <v/>
      </c>
      <c r="AB43" s="21">
        <f>IF(AB4=1,-Hypotheses!$B$34,0)</f>
        <v/>
      </c>
      <c r="AC43" s="21">
        <f>IF(AC4=1,-Hypotheses!$B$34,0)</f>
        <v/>
      </c>
      <c r="AD43" s="21">
        <f>IF(AD4=1,-Hypotheses!$B$34,0)</f>
        <v/>
      </c>
      <c r="AE43" s="21">
        <f>IF(AE4=1,-Hypotheses!$B$34,0)</f>
        <v/>
      </c>
      <c r="AF43" s="21">
        <f>IF(AF4=1,-Hypotheses!$B$34,0)</f>
        <v/>
      </c>
      <c r="AG43" s="21">
        <f>IF(AG4=1,-Hypotheses!$B$34,0)</f>
        <v/>
      </c>
      <c r="AH43" s="21">
        <f>IF(AH4=1,-Hypotheses!$B$34,0)</f>
        <v/>
      </c>
      <c r="AI43" s="21">
        <f>IF(AI4=1,-Hypotheses!$B$34,0)</f>
        <v/>
      </c>
      <c r="AJ43" s="21">
        <f>IF(AJ4=1,-Hypotheses!$B$34,0)</f>
        <v/>
      </c>
      <c r="AK43" s="21">
        <f>IF(AK4=1,-Hypotheses!$B$34,0)</f>
        <v/>
      </c>
      <c r="AL43" s="21">
        <f>IF(AL4=1,-Hypotheses!$B$34,0)</f>
        <v/>
      </c>
      <c r="AM43" s="21">
        <f>IF(AM4=1,-Hypotheses!$B$34,0)</f>
        <v/>
      </c>
      <c r="AN43" s="21">
        <f>IF(AN4=1,-Hypotheses!$B$34,0)</f>
        <v/>
      </c>
      <c r="AO43" s="21">
        <f>IF(AO4=1,-Hypotheses!$B$34,0)</f>
        <v/>
      </c>
      <c r="AP43" s="21">
        <f>IF(AP4=1,-Hypotheses!$B$34,0)</f>
        <v/>
      </c>
      <c r="AQ43" s="21">
        <f>IF(AQ4=1,-Hypotheses!$B$34,0)</f>
        <v/>
      </c>
      <c r="AR43" s="21">
        <f>IF(AR4=1,-Hypotheses!$B$34,0)</f>
        <v/>
      </c>
      <c r="AS43" s="21">
        <f>IF(AS4=1,-Hypotheses!$B$34,0)</f>
        <v/>
      </c>
      <c r="AT43" s="21">
        <f>IF(AT4=1,-Hypotheses!$B$34,0)</f>
        <v/>
      </c>
      <c r="AU43" s="21">
        <f>IF(AU4=1,-Hypotheses!$B$34,0)</f>
        <v/>
      </c>
      <c r="AV43" s="21">
        <f>IF(AV4=1,-Hypotheses!$B$34,0)</f>
        <v/>
      </c>
      <c r="AW43" s="21">
        <f>IF(AW4=1,-Hypotheses!$B$34,0)</f>
        <v/>
      </c>
      <c r="AX43" s="21">
        <f>IF(AX4=1,-Hypotheses!$B$34,0)</f>
        <v/>
      </c>
      <c r="AY43" s="21">
        <f>IF(AY4=1,-Hypotheses!$B$34,0)</f>
        <v/>
      </c>
      <c r="AZ43" s="21">
        <f>IF(AZ4=1,-Hypotheses!$B$34,0)</f>
        <v/>
      </c>
      <c r="BA43" s="21">
        <f>IF(BA4=1,-Hypotheses!$B$34,0)</f>
        <v/>
      </c>
      <c r="BB43" s="21">
        <f>IF(BB4=1,-Hypotheses!$B$34,0)</f>
        <v/>
      </c>
      <c r="BC43" s="21">
        <f>IF(BC4=1,-Hypotheses!$B$34,0)</f>
        <v/>
      </c>
      <c r="BD43" s="21">
        <f>IF(BD4=1,-Hypotheses!$B$34,0)</f>
        <v/>
      </c>
      <c r="BE43" s="21">
        <f>IF(BE4=1,-Hypotheses!$B$34,0)</f>
        <v/>
      </c>
      <c r="BF43" s="21">
        <f>IF(BF4=1,-Hypotheses!$B$34,0)</f>
        <v/>
      </c>
      <c r="BG43" s="21">
        <f>IF(BG4=1,-Hypotheses!$B$34,0)</f>
        <v/>
      </c>
      <c r="BH43" s="21">
        <f>IF(BH4=1,-Hypotheses!$B$34,0)</f>
        <v/>
      </c>
      <c r="BI43" s="21">
        <f>IF(BI4=1,-Hypotheses!$B$34,0)</f>
        <v/>
      </c>
      <c r="BJ43" s="21">
        <f>IF(BJ4=1,-Hypotheses!$B$34,0)</f>
        <v/>
      </c>
    </row>
    <row r="44">
      <c r="A44" s="28" t="inlineStr">
        <is>
          <t>Trésorerie</t>
        </is>
      </c>
      <c r="C44" s="21">
        <f>Hypotheses!$B$73+C41+C43</f>
        <v/>
      </c>
      <c r="D44" s="21">
        <f>C44+D41+D43</f>
        <v/>
      </c>
      <c r="E44" s="21">
        <f>D44+E41+E43</f>
        <v/>
      </c>
      <c r="F44" s="21">
        <f>E44+F41+F43</f>
        <v/>
      </c>
      <c r="G44" s="21">
        <f>F44+G41+G43</f>
        <v/>
      </c>
      <c r="H44" s="21">
        <f>G44+H41+H43</f>
        <v/>
      </c>
      <c r="I44" s="21">
        <f>H44+I41+I43</f>
        <v/>
      </c>
      <c r="J44" s="21">
        <f>I44+J41+J43</f>
        <v/>
      </c>
      <c r="K44" s="21">
        <f>J44+K41+K43</f>
        <v/>
      </c>
      <c r="L44" s="21">
        <f>K44+L41+L43</f>
        <v/>
      </c>
      <c r="M44" s="21">
        <f>L44+M41+M43</f>
        <v/>
      </c>
      <c r="N44" s="21">
        <f>M44+N41+N43</f>
        <v/>
      </c>
      <c r="O44" s="21">
        <f>N44+O41+O43</f>
        <v/>
      </c>
      <c r="P44" s="21">
        <f>O44+P41+P43</f>
        <v/>
      </c>
      <c r="Q44" s="21">
        <f>P44+Q41+Q43</f>
        <v/>
      </c>
      <c r="R44" s="21">
        <f>Q44+R41+R43</f>
        <v/>
      </c>
      <c r="S44" s="21">
        <f>R44+S41+S43</f>
        <v/>
      </c>
      <c r="T44" s="21">
        <f>S44+T41+T43</f>
        <v/>
      </c>
      <c r="U44" s="21">
        <f>T44+U41+U43</f>
        <v/>
      </c>
      <c r="V44" s="21">
        <f>U44+V41+V43</f>
        <v/>
      </c>
      <c r="W44" s="21">
        <f>V44+W41+W43</f>
        <v/>
      </c>
      <c r="X44" s="21">
        <f>W44+X41+X43</f>
        <v/>
      </c>
      <c r="Y44" s="21">
        <f>X44+Y41+Y43</f>
        <v/>
      </c>
      <c r="Z44" s="21">
        <f>Y44+Z41+Z43</f>
        <v/>
      </c>
      <c r="AA44" s="21">
        <f>Z44+AA41+AA43</f>
        <v/>
      </c>
      <c r="AB44" s="21">
        <f>AA44+AB41+AB43</f>
        <v/>
      </c>
      <c r="AC44" s="21">
        <f>AB44+AC41+AC43</f>
        <v/>
      </c>
      <c r="AD44" s="21">
        <f>AC44+AD41+AD43</f>
        <v/>
      </c>
      <c r="AE44" s="21">
        <f>AD44+AE41+AE43</f>
        <v/>
      </c>
      <c r="AF44" s="21">
        <f>AE44+AF41+AF43</f>
        <v/>
      </c>
      <c r="AG44" s="21">
        <f>AF44+AG41+AG43</f>
        <v/>
      </c>
      <c r="AH44" s="21">
        <f>AG44+AH41+AH43</f>
        <v/>
      </c>
      <c r="AI44" s="21">
        <f>AH44+AI41+AI43</f>
        <v/>
      </c>
      <c r="AJ44" s="21">
        <f>AI44+AJ41+AJ43</f>
        <v/>
      </c>
      <c r="AK44" s="21">
        <f>AJ44+AK41+AK43</f>
        <v/>
      </c>
      <c r="AL44" s="21">
        <f>AK44+AL41+AL43</f>
        <v/>
      </c>
      <c r="AM44" s="21">
        <f>AL44+AM41+AM43</f>
        <v/>
      </c>
      <c r="AN44" s="21">
        <f>AM44+AN41+AN43</f>
        <v/>
      </c>
      <c r="AO44" s="21">
        <f>AN44+AO41+AO43</f>
        <v/>
      </c>
      <c r="AP44" s="21">
        <f>AO44+AP41+AP43</f>
        <v/>
      </c>
      <c r="AQ44" s="21">
        <f>AP44+AQ41+AQ43</f>
        <v/>
      </c>
      <c r="AR44" s="21">
        <f>AQ44+AR41+AR43</f>
        <v/>
      </c>
      <c r="AS44" s="21">
        <f>AR44+AS41+AS43</f>
        <v/>
      </c>
      <c r="AT44" s="21">
        <f>AS44+AT41+AT43</f>
        <v/>
      </c>
      <c r="AU44" s="21">
        <f>AT44+AU41+AU43</f>
        <v/>
      </c>
      <c r="AV44" s="21">
        <f>AU44+AV41+AV43</f>
        <v/>
      </c>
      <c r="AW44" s="21">
        <f>AV44+AW41+AW43</f>
        <v/>
      </c>
      <c r="AX44" s="21">
        <f>AW44+AX41+AX43</f>
        <v/>
      </c>
      <c r="AY44" s="21">
        <f>AX44+AY41+AY43</f>
        <v/>
      </c>
      <c r="AZ44" s="21">
        <f>AY44+AZ41+AZ43</f>
        <v/>
      </c>
      <c r="BA44" s="21">
        <f>AZ44+BA41+BA43</f>
        <v/>
      </c>
      <c r="BB44" s="21">
        <f>BA44+BB41+BB43</f>
        <v/>
      </c>
      <c r="BC44" s="21">
        <f>BB44+BC41+BC43</f>
        <v/>
      </c>
      <c r="BD44" s="21">
        <f>BC44+BD41+BD43</f>
        <v/>
      </c>
      <c r="BE44" s="21">
        <f>BD44+BE41+BE43</f>
        <v/>
      </c>
      <c r="BF44" s="21">
        <f>BE44+BF41+BF43</f>
        <v/>
      </c>
      <c r="BG44" s="21">
        <f>BF44+BG41+BG43</f>
        <v/>
      </c>
      <c r="BH44" s="21">
        <f>BG44+BH41+BH43</f>
        <v/>
      </c>
      <c r="BI44" s="21">
        <f>BH44+BI41+BI43</f>
        <v/>
      </c>
      <c r="BJ44" s="21">
        <f>BI44+BJ41+BJ43</f>
        <v/>
      </c>
    </row>
    <row r="45">
      <c r="A45" s="19" t="inlineStr">
        <is>
          <t>Calculs auxiliaires (pour la synthèse)</t>
        </is>
      </c>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c r="AA45" s="20" t="n"/>
      <c r="AB45" s="20" t="n"/>
      <c r="AC45" s="20" t="n"/>
      <c r="AD45" s="20" t="n"/>
      <c r="AE45" s="20" t="n"/>
      <c r="AF45" s="20" t="n"/>
      <c r="AG45" s="20" t="n"/>
      <c r="AH45" s="20" t="n"/>
      <c r="AI45" s="20" t="n"/>
      <c r="AJ45" s="20" t="n"/>
      <c r="AK45" s="20" t="n"/>
      <c r="AL45" s="20" t="n"/>
      <c r="AM45" s="20" t="n"/>
      <c r="AN45" s="20" t="n"/>
      <c r="AO45" s="20" t="n"/>
      <c r="AP45" s="20" t="n"/>
      <c r="AQ45" s="20" t="n"/>
      <c r="AR45" s="20" t="n"/>
      <c r="AS45" s="20" t="n"/>
      <c r="AT45" s="20" t="n"/>
      <c r="AU45" s="20" t="n"/>
      <c r="AV45" s="20" t="n"/>
      <c r="AW45" s="20" t="n"/>
      <c r="AX45" s="20" t="n"/>
      <c r="AY45" s="20" t="n"/>
      <c r="AZ45" s="20" t="n"/>
      <c r="BA45" s="20" t="n"/>
      <c r="BB45" s="20" t="n"/>
      <c r="BC45" s="20" t="n"/>
      <c r="BD45" s="20" t="n"/>
      <c r="BE45" s="20" t="n"/>
      <c r="BF45" s="20" t="n"/>
      <c r="BG45" s="20" t="n"/>
      <c r="BH45" s="20" t="n"/>
      <c r="BI45" s="20" t="n"/>
      <c r="BJ45" s="20" t="n"/>
    </row>
    <row r="46">
      <c r="A46" s="28" t="inlineStr">
        <is>
          <t>Repère : mois bénéficiaire</t>
        </is>
      </c>
      <c r="B46" s="6" t="inlineStr">
        <is>
          <t>9999 = sans objet</t>
        </is>
      </c>
      <c r="C46" s="57">
        <f>IF(C41&gt;0,C4,9999)</f>
        <v/>
      </c>
      <c r="D46" s="57">
        <f>IF(D41&gt;0,D4,9999)</f>
        <v/>
      </c>
      <c r="E46" s="57">
        <f>IF(E41&gt;0,E4,9999)</f>
        <v/>
      </c>
      <c r="F46" s="57">
        <f>IF(F41&gt;0,F4,9999)</f>
        <v/>
      </c>
      <c r="G46" s="57">
        <f>IF(G41&gt;0,G4,9999)</f>
        <v/>
      </c>
      <c r="H46" s="57">
        <f>IF(H41&gt;0,H4,9999)</f>
        <v/>
      </c>
      <c r="I46" s="57">
        <f>IF(I41&gt;0,I4,9999)</f>
        <v/>
      </c>
      <c r="J46" s="57">
        <f>IF(J41&gt;0,J4,9999)</f>
        <v/>
      </c>
      <c r="K46" s="57">
        <f>IF(K41&gt;0,K4,9999)</f>
        <v/>
      </c>
      <c r="L46" s="57">
        <f>IF(L41&gt;0,L4,9999)</f>
        <v/>
      </c>
      <c r="M46" s="57">
        <f>IF(M41&gt;0,M4,9999)</f>
        <v/>
      </c>
      <c r="N46" s="57">
        <f>IF(N41&gt;0,N4,9999)</f>
        <v/>
      </c>
      <c r="O46" s="57">
        <f>IF(O41&gt;0,O4,9999)</f>
        <v/>
      </c>
      <c r="P46" s="57">
        <f>IF(P41&gt;0,P4,9999)</f>
        <v/>
      </c>
      <c r="Q46" s="57">
        <f>IF(Q41&gt;0,Q4,9999)</f>
        <v/>
      </c>
      <c r="R46" s="57">
        <f>IF(R41&gt;0,R4,9999)</f>
        <v/>
      </c>
      <c r="S46" s="57">
        <f>IF(S41&gt;0,S4,9999)</f>
        <v/>
      </c>
      <c r="T46" s="57">
        <f>IF(T41&gt;0,T4,9999)</f>
        <v/>
      </c>
      <c r="U46" s="57">
        <f>IF(U41&gt;0,U4,9999)</f>
        <v/>
      </c>
      <c r="V46" s="57">
        <f>IF(V41&gt;0,V4,9999)</f>
        <v/>
      </c>
      <c r="W46" s="57">
        <f>IF(W41&gt;0,W4,9999)</f>
        <v/>
      </c>
      <c r="X46" s="57">
        <f>IF(X41&gt;0,X4,9999)</f>
        <v/>
      </c>
      <c r="Y46" s="57">
        <f>IF(Y41&gt;0,Y4,9999)</f>
        <v/>
      </c>
      <c r="Z46" s="57">
        <f>IF(Z41&gt;0,Z4,9999)</f>
        <v/>
      </c>
      <c r="AA46" s="57">
        <f>IF(AA41&gt;0,AA4,9999)</f>
        <v/>
      </c>
      <c r="AB46" s="57">
        <f>IF(AB41&gt;0,AB4,9999)</f>
        <v/>
      </c>
      <c r="AC46" s="57">
        <f>IF(AC41&gt;0,AC4,9999)</f>
        <v/>
      </c>
      <c r="AD46" s="57">
        <f>IF(AD41&gt;0,AD4,9999)</f>
        <v/>
      </c>
      <c r="AE46" s="57">
        <f>IF(AE41&gt;0,AE4,9999)</f>
        <v/>
      </c>
      <c r="AF46" s="57">
        <f>IF(AF41&gt;0,AF4,9999)</f>
        <v/>
      </c>
      <c r="AG46" s="57">
        <f>IF(AG41&gt;0,AG4,9999)</f>
        <v/>
      </c>
      <c r="AH46" s="57">
        <f>IF(AH41&gt;0,AH4,9999)</f>
        <v/>
      </c>
      <c r="AI46" s="57">
        <f>IF(AI41&gt;0,AI4,9999)</f>
        <v/>
      </c>
      <c r="AJ46" s="57">
        <f>IF(AJ41&gt;0,AJ4,9999)</f>
        <v/>
      </c>
      <c r="AK46" s="57">
        <f>IF(AK41&gt;0,AK4,9999)</f>
        <v/>
      </c>
      <c r="AL46" s="57">
        <f>IF(AL41&gt;0,AL4,9999)</f>
        <v/>
      </c>
      <c r="AM46" s="57">
        <f>IF(AM41&gt;0,AM4,9999)</f>
        <v/>
      </c>
      <c r="AN46" s="57">
        <f>IF(AN41&gt;0,AN4,9999)</f>
        <v/>
      </c>
      <c r="AO46" s="57">
        <f>IF(AO41&gt;0,AO4,9999)</f>
        <v/>
      </c>
      <c r="AP46" s="57">
        <f>IF(AP41&gt;0,AP4,9999)</f>
        <v/>
      </c>
      <c r="AQ46" s="57">
        <f>IF(AQ41&gt;0,AQ4,9999)</f>
        <v/>
      </c>
      <c r="AR46" s="57">
        <f>IF(AR41&gt;0,AR4,9999)</f>
        <v/>
      </c>
      <c r="AS46" s="57">
        <f>IF(AS41&gt;0,AS4,9999)</f>
        <v/>
      </c>
      <c r="AT46" s="57">
        <f>IF(AT41&gt;0,AT4,9999)</f>
        <v/>
      </c>
      <c r="AU46" s="57">
        <f>IF(AU41&gt;0,AU4,9999)</f>
        <v/>
      </c>
      <c r="AV46" s="57">
        <f>IF(AV41&gt;0,AV4,9999)</f>
        <v/>
      </c>
      <c r="AW46" s="57">
        <f>IF(AW41&gt;0,AW4,9999)</f>
        <v/>
      </c>
      <c r="AX46" s="57">
        <f>IF(AX41&gt;0,AX4,9999)</f>
        <v/>
      </c>
      <c r="AY46" s="57">
        <f>IF(AY41&gt;0,AY4,9999)</f>
        <v/>
      </c>
      <c r="AZ46" s="57">
        <f>IF(AZ41&gt;0,AZ4,9999)</f>
        <v/>
      </c>
      <c r="BA46" s="57">
        <f>IF(BA41&gt;0,BA4,9999)</f>
        <v/>
      </c>
      <c r="BB46" s="57">
        <f>IF(BB41&gt;0,BB4,9999)</f>
        <v/>
      </c>
      <c r="BC46" s="57">
        <f>IF(BC41&gt;0,BC4,9999)</f>
        <v/>
      </c>
      <c r="BD46" s="57">
        <f>IF(BD41&gt;0,BD4,9999)</f>
        <v/>
      </c>
      <c r="BE46" s="57">
        <f>IF(BE41&gt;0,BE4,9999)</f>
        <v/>
      </c>
      <c r="BF46" s="57">
        <f>IF(BF41&gt;0,BF4,9999)</f>
        <v/>
      </c>
      <c r="BG46" s="57">
        <f>IF(BG41&gt;0,BG4,9999)</f>
        <v/>
      </c>
      <c r="BH46" s="57">
        <f>IF(BH41&gt;0,BH4,9999)</f>
        <v/>
      </c>
      <c r="BI46" s="57">
        <f>IF(BI41&gt;0,BI4,9999)</f>
        <v/>
      </c>
      <c r="BJ46" s="57">
        <f>IF(BJ41&gt;0,BJ4,9999)</f>
        <v/>
      </c>
    </row>
    <row r="47">
      <c r="A47" s="28" t="inlineStr">
        <is>
          <t>Repère : seuil cumulé atteint</t>
        </is>
      </c>
      <c r="C47" s="57">
        <f>IF(AND(C42&gt;=0,C41&gt;0),C4,9999)</f>
        <v/>
      </c>
      <c r="D47" s="57">
        <f>IF(AND(D42&gt;=0,D41&gt;0),D4,9999)</f>
        <v/>
      </c>
      <c r="E47" s="57">
        <f>IF(AND(E42&gt;=0,E41&gt;0),E4,9999)</f>
        <v/>
      </c>
      <c r="F47" s="57">
        <f>IF(AND(F42&gt;=0,F41&gt;0),F4,9999)</f>
        <v/>
      </c>
      <c r="G47" s="57">
        <f>IF(AND(G42&gt;=0,G41&gt;0),G4,9999)</f>
        <v/>
      </c>
      <c r="H47" s="57">
        <f>IF(AND(H42&gt;=0,H41&gt;0),H4,9999)</f>
        <v/>
      </c>
      <c r="I47" s="57">
        <f>IF(AND(I42&gt;=0,I41&gt;0),I4,9999)</f>
        <v/>
      </c>
      <c r="J47" s="57">
        <f>IF(AND(J42&gt;=0,J41&gt;0),J4,9999)</f>
        <v/>
      </c>
      <c r="K47" s="57">
        <f>IF(AND(K42&gt;=0,K41&gt;0),K4,9999)</f>
        <v/>
      </c>
      <c r="L47" s="57">
        <f>IF(AND(L42&gt;=0,L41&gt;0),L4,9999)</f>
        <v/>
      </c>
      <c r="M47" s="57">
        <f>IF(AND(M42&gt;=0,M41&gt;0),M4,9999)</f>
        <v/>
      </c>
      <c r="N47" s="57">
        <f>IF(AND(N42&gt;=0,N41&gt;0),N4,9999)</f>
        <v/>
      </c>
      <c r="O47" s="57">
        <f>IF(AND(O42&gt;=0,O41&gt;0),O4,9999)</f>
        <v/>
      </c>
      <c r="P47" s="57">
        <f>IF(AND(P42&gt;=0,P41&gt;0),P4,9999)</f>
        <v/>
      </c>
      <c r="Q47" s="57">
        <f>IF(AND(Q42&gt;=0,Q41&gt;0),Q4,9999)</f>
        <v/>
      </c>
      <c r="R47" s="57">
        <f>IF(AND(R42&gt;=0,R41&gt;0),R4,9999)</f>
        <v/>
      </c>
      <c r="S47" s="57">
        <f>IF(AND(S42&gt;=0,S41&gt;0),S4,9999)</f>
        <v/>
      </c>
      <c r="T47" s="57">
        <f>IF(AND(T42&gt;=0,T41&gt;0),T4,9999)</f>
        <v/>
      </c>
      <c r="U47" s="57">
        <f>IF(AND(U42&gt;=0,U41&gt;0),U4,9999)</f>
        <v/>
      </c>
      <c r="V47" s="57">
        <f>IF(AND(V42&gt;=0,V41&gt;0),V4,9999)</f>
        <v/>
      </c>
      <c r="W47" s="57">
        <f>IF(AND(W42&gt;=0,W41&gt;0),W4,9999)</f>
        <v/>
      </c>
      <c r="X47" s="57">
        <f>IF(AND(X42&gt;=0,X41&gt;0),X4,9999)</f>
        <v/>
      </c>
      <c r="Y47" s="57">
        <f>IF(AND(Y42&gt;=0,Y41&gt;0),Y4,9999)</f>
        <v/>
      </c>
      <c r="Z47" s="57">
        <f>IF(AND(Z42&gt;=0,Z41&gt;0),Z4,9999)</f>
        <v/>
      </c>
      <c r="AA47" s="57">
        <f>IF(AND(AA42&gt;=0,AA41&gt;0),AA4,9999)</f>
        <v/>
      </c>
      <c r="AB47" s="57">
        <f>IF(AND(AB42&gt;=0,AB41&gt;0),AB4,9999)</f>
        <v/>
      </c>
      <c r="AC47" s="57">
        <f>IF(AND(AC42&gt;=0,AC41&gt;0),AC4,9999)</f>
        <v/>
      </c>
      <c r="AD47" s="57">
        <f>IF(AND(AD42&gt;=0,AD41&gt;0),AD4,9999)</f>
        <v/>
      </c>
      <c r="AE47" s="57">
        <f>IF(AND(AE42&gt;=0,AE41&gt;0),AE4,9999)</f>
        <v/>
      </c>
      <c r="AF47" s="57">
        <f>IF(AND(AF42&gt;=0,AF41&gt;0),AF4,9999)</f>
        <v/>
      </c>
      <c r="AG47" s="57">
        <f>IF(AND(AG42&gt;=0,AG41&gt;0),AG4,9999)</f>
        <v/>
      </c>
      <c r="AH47" s="57">
        <f>IF(AND(AH42&gt;=0,AH41&gt;0),AH4,9999)</f>
        <v/>
      </c>
      <c r="AI47" s="57">
        <f>IF(AND(AI42&gt;=0,AI41&gt;0),AI4,9999)</f>
        <v/>
      </c>
      <c r="AJ47" s="57">
        <f>IF(AND(AJ42&gt;=0,AJ41&gt;0),AJ4,9999)</f>
        <v/>
      </c>
      <c r="AK47" s="57">
        <f>IF(AND(AK42&gt;=0,AK41&gt;0),AK4,9999)</f>
        <v/>
      </c>
      <c r="AL47" s="57">
        <f>IF(AND(AL42&gt;=0,AL41&gt;0),AL4,9999)</f>
        <v/>
      </c>
      <c r="AM47" s="57">
        <f>IF(AND(AM42&gt;=0,AM41&gt;0),AM4,9999)</f>
        <v/>
      </c>
      <c r="AN47" s="57">
        <f>IF(AND(AN42&gt;=0,AN41&gt;0),AN4,9999)</f>
        <v/>
      </c>
      <c r="AO47" s="57">
        <f>IF(AND(AO42&gt;=0,AO41&gt;0),AO4,9999)</f>
        <v/>
      </c>
      <c r="AP47" s="57">
        <f>IF(AND(AP42&gt;=0,AP41&gt;0),AP4,9999)</f>
        <v/>
      </c>
      <c r="AQ47" s="57">
        <f>IF(AND(AQ42&gt;=0,AQ41&gt;0),AQ4,9999)</f>
        <v/>
      </c>
      <c r="AR47" s="57">
        <f>IF(AND(AR42&gt;=0,AR41&gt;0),AR4,9999)</f>
        <v/>
      </c>
      <c r="AS47" s="57">
        <f>IF(AND(AS42&gt;=0,AS41&gt;0),AS4,9999)</f>
        <v/>
      </c>
      <c r="AT47" s="57">
        <f>IF(AND(AT42&gt;=0,AT41&gt;0),AT4,9999)</f>
        <v/>
      </c>
      <c r="AU47" s="57">
        <f>IF(AND(AU42&gt;=0,AU41&gt;0),AU4,9999)</f>
        <v/>
      </c>
      <c r="AV47" s="57">
        <f>IF(AND(AV42&gt;=0,AV41&gt;0),AV4,9999)</f>
        <v/>
      </c>
      <c r="AW47" s="57">
        <f>IF(AND(AW42&gt;=0,AW41&gt;0),AW4,9999)</f>
        <v/>
      </c>
      <c r="AX47" s="57">
        <f>IF(AND(AX42&gt;=0,AX41&gt;0),AX4,9999)</f>
        <v/>
      </c>
      <c r="AY47" s="57">
        <f>IF(AND(AY42&gt;=0,AY41&gt;0),AY4,9999)</f>
        <v/>
      </c>
      <c r="AZ47" s="57">
        <f>IF(AND(AZ42&gt;=0,AZ41&gt;0),AZ4,9999)</f>
        <v/>
      </c>
      <c r="BA47" s="57">
        <f>IF(AND(BA42&gt;=0,BA41&gt;0),BA4,9999)</f>
        <v/>
      </c>
      <c r="BB47" s="57">
        <f>IF(AND(BB42&gt;=0,BB41&gt;0),BB4,9999)</f>
        <v/>
      </c>
      <c r="BC47" s="57">
        <f>IF(AND(BC42&gt;=0,BC41&gt;0),BC4,9999)</f>
        <v/>
      </c>
      <c r="BD47" s="57">
        <f>IF(AND(BD42&gt;=0,BD41&gt;0),BD4,9999)</f>
        <v/>
      </c>
      <c r="BE47" s="57">
        <f>IF(AND(BE42&gt;=0,BE41&gt;0),BE4,9999)</f>
        <v/>
      </c>
      <c r="BF47" s="57">
        <f>IF(AND(BF42&gt;=0,BF41&gt;0),BF4,9999)</f>
        <v/>
      </c>
      <c r="BG47" s="57">
        <f>IF(AND(BG42&gt;=0,BG41&gt;0),BG4,9999)</f>
        <v/>
      </c>
      <c r="BH47" s="57">
        <f>IF(AND(BH42&gt;=0,BH41&gt;0),BH4,9999)</f>
        <v/>
      </c>
      <c r="BI47" s="57">
        <f>IF(AND(BI42&gt;=0,BI41&gt;0),BI4,9999)</f>
        <v/>
      </c>
      <c r="BJ47" s="57">
        <f>IF(AND(BJ42&gt;=0,BJ41&gt;0),BJ4,9999)</f>
        <v/>
      </c>
    </row>
    <row r="48">
      <c r="A48" s="28" t="inlineStr">
        <is>
          <t>Repère : trésorerie négative</t>
        </is>
      </c>
      <c r="C48" s="57">
        <f>IF(C44&lt;0,C4,9999)</f>
        <v/>
      </c>
      <c r="D48" s="57">
        <f>IF(D44&lt;0,D4,9999)</f>
        <v/>
      </c>
      <c r="E48" s="57">
        <f>IF(E44&lt;0,E4,9999)</f>
        <v/>
      </c>
      <c r="F48" s="57">
        <f>IF(F44&lt;0,F4,9999)</f>
        <v/>
      </c>
      <c r="G48" s="57">
        <f>IF(G44&lt;0,G4,9999)</f>
        <v/>
      </c>
      <c r="H48" s="57">
        <f>IF(H44&lt;0,H4,9999)</f>
        <v/>
      </c>
      <c r="I48" s="57">
        <f>IF(I44&lt;0,I4,9999)</f>
        <v/>
      </c>
      <c r="J48" s="57">
        <f>IF(J44&lt;0,J4,9999)</f>
        <v/>
      </c>
      <c r="K48" s="57">
        <f>IF(K44&lt;0,K4,9999)</f>
        <v/>
      </c>
      <c r="L48" s="57">
        <f>IF(L44&lt;0,L4,9999)</f>
        <v/>
      </c>
      <c r="M48" s="57">
        <f>IF(M44&lt;0,M4,9999)</f>
        <v/>
      </c>
      <c r="N48" s="57">
        <f>IF(N44&lt;0,N4,9999)</f>
        <v/>
      </c>
      <c r="O48" s="57">
        <f>IF(O44&lt;0,O4,9999)</f>
        <v/>
      </c>
      <c r="P48" s="57">
        <f>IF(P44&lt;0,P4,9999)</f>
        <v/>
      </c>
      <c r="Q48" s="57">
        <f>IF(Q44&lt;0,Q4,9999)</f>
        <v/>
      </c>
      <c r="R48" s="57">
        <f>IF(R44&lt;0,R4,9999)</f>
        <v/>
      </c>
      <c r="S48" s="57">
        <f>IF(S44&lt;0,S4,9999)</f>
        <v/>
      </c>
      <c r="T48" s="57">
        <f>IF(T44&lt;0,T4,9999)</f>
        <v/>
      </c>
      <c r="U48" s="57">
        <f>IF(U44&lt;0,U4,9999)</f>
        <v/>
      </c>
      <c r="V48" s="57">
        <f>IF(V44&lt;0,V4,9999)</f>
        <v/>
      </c>
      <c r="W48" s="57">
        <f>IF(W44&lt;0,W4,9999)</f>
        <v/>
      </c>
      <c r="X48" s="57">
        <f>IF(X44&lt;0,X4,9999)</f>
        <v/>
      </c>
      <c r="Y48" s="57">
        <f>IF(Y44&lt;0,Y4,9999)</f>
        <v/>
      </c>
      <c r="Z48" s="57">
        <f>IF(Z44&lt;0,Z4,9999)</f>
        <v/>
      </c>
      <c r="AA48" s="57">
        <f>IF(AA44&lt;0,AA4,9999)</f>
        <v/>
      </c>
      <c r="AB48" s="57">
        <f>IF(AB44&lt;0,AB4,9999)</f>
        <v/>
      </c>
      <c r="AC48" s="57">
        <f>IF(AC44&lt;0,AC4,9999)</f>
        <v/>
      </c>
      <c r="AD48" s="57">
        <f>IF(AD44&lt;0,AD4,9999)</f>
        <v/>
      </c>
      <c r="AE48" s="57">
        <f>IF(AE44&lt;0,AE4,9999)</f>
        <v/>
      </c>
      <c r="AF48" s="57">
        <f>IF(AF44&lt;0,AF4,9999)</f>
        <v/>
      </c>
      <c r="AG48" s="57">
        <f>IF(AG44&lt;0,AG4,9999)</f>
        <v/>
      </c>
      <c r="AH48" s="57">
        <f>IF(AH44&lt;0,AH4,9999)</f>
        <v/>
      </c>
      <c r="AI48" s="57">
        <f>IF(AI44&lt;0,AI4,9999)</f>
        <v/>
      </c>
      <c r="AJ48" s="57">
        <f>IF(AJ44&lt;0,AJ4,9999)</f>
        <v/>
      </c>
      <c r="AK48" s="57">
        <f>IF(AK44&lt;0,AK4,9999)</f>
        <v/>
      </c>
      <c r="AL48" s="57">
        <f>IF(AL44&lt;0,AL4,9999)</f>
        <v/>
      </c>
      <c r="AM48" s="57">
        <f>IF(AM44&lt;0,AM4,9999)</f>
        <v/>
      </c>
      <c r="AN48" s="57">
        <f>IF(AN44&lt;0,AN4,9999)</f>
        <v/>
      </c>
      <c r="AO48" s="57">
        <f>IF(AO44&lt;0,AO4,9999)</f>
        <v/>
      </c>
      <c r="AP48" s="57">
        <f>IF(AP44&lt;0,AP4,9999)</f>
        <v/>
      </c>
      <c r="AQ48" s="57">
        <f>IF(AQ44&lt;0,AQ4,9999)</f>
        <v/>
      </c>
      <c r="AR48" s="57">
        <f>IF(AR44&lt;0,AR4,9999)</f>
        <v/>
      </c>
      <c r="AS48" s="57">
        <f>IF(AS44&lt;0,AS4,9999)</f>
        <v/>
      </c>
      <c r="AT48" s="57">
        <f>IF(AT44&lt;0,AT4,9999)</f>
        <v/>
      </c>
      <c r="AU48" s="57">
        <f>IF(AU44&lt;0,AU4,9999)</f>
        <v/>
      </c>
      <c r="AV48" s="57">
        <f>IF(AV44&lt;0,AV4,9999)</f>
        <v/>
      </c>
      <c r="AW48" s="57">
        <f>IF(AW44&lt;0,AW4,9999)</f>
        <v/>
      </c>
      <c r="AX48" s="57">
        <f>IF(AX44&lt;0,AX4,9999)</f>
        <v/>
      </c>
      <c r="AY48" s="57">
        <f>IF(AY44&lt;0,AY4,9999)</f>
        <v/>
      </c>
      <c r="AZ48" s="57">
        <f>IF(AZ44&lt;0,AZ4,9999)</f>
        <v/>
      </c>
      <c r="BA48" s="57">
        <f>IF(BA44&lt;0,BA4,9999)</f>
        <v/>
      </c>
      <c r="BB48" s="57">
        <f>IF(BB44&lt;0,BB4,9999)</f>
        <v/>
      </c>
      <c r="BC48" s="57">
        <f>IF(BC44&lt;0,BC4,9999)</f>
        <v/>
      </c>
      <c r="BD48" s="57">
        <f>IF(BD44&lt;0,BD4,9999)</f>
        <v/>
      </c>
      <c r="BE48" s="57">
        <f>IF(BE44&lt;0,BE4,9999)</f>
        <v/>
      </c>
      <c r="BF48" s="57">
        <f>IF(BF44&lt;0,BF4,9999)</f>
        <v/>
      </c>
      <c r="BG48" s="57">
        <f>IF(BG44&lt;0,BG4,9999)</f>
        <v/>
      </c>
      <c r="BH48" s="57">
        <f>IF(BH44&lt;0,BH4,9999)</f>
        <v/>
      </c>
      <c r="BI48" s="57">
        <f>IF(BI44&lt;0,BI4,9999)</f>
        <v/>
      </c>
      <c r="BJ48" s="57">
        <f>IF(BJ44&lt;0,BJ4,9999)</f>
        <v/>
      </c>
    </row>
    <row r="49">
      <c r="A49" s="28" t="inlineStr">
        <is>
          <t>Repère : support supplémentaire nécessaire</t>
        </is>
      </c>
      <c r="C49" s="57">
        <f>IF(C22&gt;0,C4,9999)</f>
        <v/>
      </c>
      <c r="D49" s="57">
        <f>IF(D22&gt;0,D4,9999)</f>
        <v/>
      </c>
      <c r="E49" s="57">
        <f>IF(E22&gt;0,E4,9999)</f>
        <v/>
      </c>
      <c r="F49" s="57">
        <f>IF(F22&gt;0,F4,9999)</f>
        <v/>
      </c>
      <c r="G49" s="57">
        <f>IF(G22&gt;0,G4,9999)</f>
        <v/>
      </c>
      <c r="H49" s="57">
        <f>IF(H22&gt;0,H4,9999)</f>
        <v/>
      </c>
      <c r="I49" s="57">
        <f>IF(I22&gt;0,I4,9999)</f>
        <v/>
      </c>
      <c r="J49" s="57">
        <f>IF(J22&gt;0,J4,9999)</f>
        <v/>
      </c>
      <c r="K49" s="57">
        <f>IF(K22&gt;0,K4,9999)</f>
        <v/>
      </c>
      <c r="L49" s="57">
        <f>IF(L22&gt;0,L4,9999)</f>
        <v/>
      </c>
      <c r="M49" s="57">
        <f>IF(M22&gt;0,M4,9999)</f>
        <v/>
      </c>
      <c r="N49" s="57">
        <f>IF(N22&gt;0,N4,9999)</f>
        <v/>
      </c>
      <c r="O49" s="57">
        <f>IF(O22&gt;0,O4,9999)</f>
        <v/>
      </c>
      <c r="P49" s="57">
        <f>IF(P22&gt;0,P4,9999)</f>
        <v/>
      </c>
      <c r="Q49" s="57">
        <f>IF(Q22&gt;0,Q4,9999)</f>
        <v/>
      </c>
      <c r="R49" s="57">
        <f>IF(R22&gt;0,R4,9999)</f>
        <v/>
      </c>
      <c r="S49" s="57">
        <f>IF(S22&gt;0,S4,9999)</f>
        <v/>
      </c>
      <c r="T49" s="57">
        <f>IF(T22&gt;0,T4,9999)</f>
        <v/>
      </c>
      <c r="U49" s="57">
        <f>IF(U22&gt;0,U4,9999)</f>
        <v/>
      </c>
      <c r="V49" s="57">
        <f>IF(V22&gt;0,V4,9999)</f>
        <v/>
      </c>
      <c r="W49" s="57">
        <f>IF(W22&gt;0,W4,9999)</f>
        <v/>
      </c>
      <c r="X49" s="57">
        <f>IF(X22&gt;0,X4,9999)</f>
        <v/>
      </c>
      <c r="Y49" s="57">
        <f>IF(Y22&gt;0,Y4,9999)</f>
        <v/>
      </c>
      <c r="Z49" s="57">
        <f>IF(Z22&gt;0,Z4,9999)</f>
        <v/>
      </c>
      <c r="AA49" s="57">
        <f>IF(AA22&gt;0,AA4,9999)</f>
        <v/>
      </c>
      <c r="AB49" s="57">
        <f>IF(AB22&gt;0,AB4,9999)</f>
        <v/>
      </c>
      <c r="AC49" s="57">
        <f>IF(AC22&gt;0,AC4,9999)</f>
        <v/>
      </c>
      <c r="AD49" s="57">
        <f>IF(AD22&gt;0,AD4,9999)</f>
        <v/>
      </c>
      <c r="AE49" s="57">
        <f>IF(AE22&gt;0,AE4,9999)</f>
        <v/>
      </c>
      <c r="AF49" s="57">
        <f>IF(AF22&gt;0,AF4,9999)</f>
        <v/>
      </c>
      <c r="AG49" s="57">
        <f>IF(AG22&gt;0,AG4,9999)</f>
        <v/>
      </c>
      <c r="AH49" s="57">
        <f>IF(AH22&gt;0,AH4,9999)</f>
        <v/>
      </c>
      <c r="AI49" s="57">
        <f>IF(AI22&gt;0,AI4,9999)</f>
        <v/>
      </c>
      <c r="AJ49" s="57">
        <f>IF(AJ22&gt;0,AJ4,9999)</f>
        <v/>
      </c>
      <c r="AK49" s="57">
        <f>IF(AK22&gt;0,AK4,9999)</f>
        <v/>
      </c>
      <c r="AL49" s="57">
        <f>IF(AL22&gt;0,AL4,9999)</f>
        <v/>
      </c>
      <c r="AM49" s="57">
        <f>IF(AM22&gt;0,AM4,9999)</f>
        <v/>
      </c>
      <c r="AN49" s="57">
        <f>IF(AN22&gt;0,AN4,9999)</f>
        <v/>
      </c>
      <c r="AO49" s="57">
        <f>IF(AO22&gt;0,AO4,9999)</f>
        <v/>
      </c>
      <c r="AP49" s="57">
        <f>IF(AP22&gt;0,AP4,9999)</f>
        <v/>
      </c>
      <c r="AQ49" s="57">
        <f>IF(AQ22&gt;0,AQ4,9999)</f>
        <v/>
      </c>
      <c r="AR49" s="57">
        <f>IF(AR22&gt;0,AR4,9999)</f>
        <v/>
      </c>
      <c r="AS49" s="57">
        <f>IF(AS22&gt;0,AS4,9999)</f>
        <v/>
      </c>
      <c r="AT49" s="57">
        <f>IF(AT22&gt;0,AT4,9999)</f>
        <v/>
      </c>
      <c r="AU49" s="57">
        <f>IF(AU22&gt;0,AU4,9999)</f>
        <v/>
      </c>
      <c r="AV49" s="57">
        <f>IF(AV22&gt;0,AV4,9999)</f>
        <v/>
      </c>
      <c r="AW49" s="57">
        <f>IF(AW22&gt;0,AW4,9999)</f>
        <v/>
      </c>
      <c r="AX49" s="57">
        <f>IF(AX22&gt;0,AX4,9999)</f>
        <v/>
      </c>
      <c r="AY49" s="57">
        <f>IF(AY22&gt;0,AY4,9999)</f>
        <v/>
      </c>
      <c r="AZ49" s="57">
        <f>IF(AZ22&gt;0,AZ4,9999)</f>
        <v/>
      </c>
      <c r="BA49" s="57">
        <f>IF(BA22&gt;0,BA4,9999)</f>
        <v/>
      </c>
      <c r="BB49" s="57">
        <f>IF(BB22&gt;0,BB4,9999)</f>
        <v/>
      </c>
      <c r="BC49" s="57">
        <f>IF(BC22&gt;0,BC4,9999)</f>
        <v/>
      </c>
      <c r="BD49" s="57">
        <f>IF(BD22&gt;0,BD4,9999)</f>
        <v/>
      </c>
      <c r="BE49" s="57">
        <f>IF(BE22&gt;0,BE4,9999)</f>
        <v/>
      </c>
      <c r="BF49" s="57">
        <f>IF(BF22&gt;0,BF4,9999)</f>
        <v/>
      </c>
      <c r="BG49" s="57">
        <f>IF(BG22&gt;0,BG4,9999)</f>
        <v/>
      </c>
      <c r="BH49" s="57">
        <f>IF(BH22&gt;0,BH4,9999)</f>
        <v/>
      </c>
      <c r="BI49" s="57">
        <f>IF(BI22&gt;0,BI4,9999)</f>
        <v/>
      </c>
      <c r="BJ49" s="57">
        <f>IF(BJ22&gt;0,BJ4,9999)</f>
        <v/>
      </c>
    </row>
  </sheetData>
  <conditionalFormatting sqref="C41:BJ41">
    <cfRule type="cellIs" priority="1" operator="lessThan" dxfId="3">
      <formula>0</formula>
    </cfRule>
  </conditionalFormatting>
  <conditionalFormatting sqref="C44:BJ44">
    <cfRule type="cellIs" priority="2" operator="lessThan" dxfId="1">
      <formula>0</formula>
    </cfRule>
  </conditionalFormatting>
  <conditionalFormatting sqref="C21:BJ21">
    <cfRule type="cellIs" priority="3" operator="greaterThan" dxfId="1">
      <formula>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50" customWidth="1" min="1" max="1"/>
    <col width="16" customWidth="1" min="2" max="2"/>
    <col width="16" customWidth="1" min="3" max="3"/>
    <col width="16" customWidth="1" min="4" max="4"/>
    <col width="16" customWidth="1" min="5" max="5"/>
    <col width="16" customWidth="1" min="6" max="6"/>
  </cols>
  <sheetData>
    <row r="1">
      <c r="A1" s="5" t="inlineStr">
        <is>
          <t>Synthèse annuelle — IS et part de l'investisseur calculés par exercice</t>
        </is>
      </c>
    </row>
    <row r="2">
      <c r="A2" s="6" t="inlineStr">
        <is>
          <t>Exercice = 12 mois à partir du premier mois (simplification). IS coréen : barème progressif + taxe locale sur le revenu (10 % de l'IS), report des déficits (100 % du bénéfice pour une PME).</t>
        </is>
      </c>
    </row>
    <row r="4">
      <c r="A4" s="8" t="inlineStr">
        <is>
          <t>Exercice</t>
        </is>
      </c>
      <c r="B4" s="58" t="n">
        <v>1</v>
      </c>
      <c r="C4" s="58" t="n">
        <v>2</v>
      </c>
      <c r="D4" s="58" t="n">
        <v>3</v>
      </c>
      <c r="E4" s="58" t="n">
        <v>4</v>
      </c>
      <c r="F4" s="58" t="n">
        <v>5</v>
      </c>
    </row>
    <row r="5">
      <c r="A5" s="28" t="inlineStr">
        <is>
          <t>Premier mois</t>
        </is>
      </c>
      <c r="B5" s="12">
        <f>EDATE(Hypotheses!$B$68,12*(B4-1))</f>
        <v/>
      </c>
      <c r="C5" s="12">
        <f>EDATE(Hypotheses!$B$68,12*(C4-1))</f>
        <v/>
      </c>
      <c r="D5" s="12">
        <f>EDATE(Hypotheses!$B$68,12*(D4-1))</f>
        <v/>
      </c>
      <c r="E5" s="12">
        <f>EDATE(Hypotheses!$B$68,12*(E4-1))</f>
        <v/>
      </c>
      <c r="F5" s="12">
        <f>EDATE(Hypotheses!$B$68,12*(F4-1))</f>
        <v/>
      </c>
    </row>
    <row r="6">
      <c r="A6" s="28" t="inlineStr">
        <is>
          <t>Clients en libre-service en fin d'exercice</t>
        </is>
      </c>
      <c r="B6" s="59">
        <f>INDEX(Previsions!$C$10:$BJ$10,12*B4)</f>
        <v/>
      </c>
      <c r="C6" s="59">
        <f>INDEX(Previsions!$C$10:$BJ$10,12*C4)</f>
        <v/>
      </c>
      <c r="D6" s="59">
        <f>INDEX(Previsions!$C$10:$BJ$10,12*D4)</f>
        <v/>
      </c>
      <c r="E6" s="59">
        <f>INDEX(Previsions!$C$10:$BJ$10,12*E4)</f>
        <v/>
      </c>
      <c r="F6" s="59">
        <f>INDEX(Previsions!$C$10:$BJ$10,12*F4)</f>
        <v/>
      </c>
    </row>
    <row r="7">
      <c r="A7" s="28" t="inlineStr">
        <is>
          <t>Clients Enterprise en fin d'exercice</t>
        </is>
      </c>
      <c r="B7" s="60">
        <f>INDEX(Previsions!$C$11:$BJ$11,12*B4)</f>
        <v/>
      </c>
      <c r="C7" s="60">
        <f>INDEX(Previsions!$C$11:$BJ$11,12*C4)</f>
        <v/>
      </c>
      <c r="D7" s="60">
        <f>INDEX(Previsions!$C$11:$BJ$11,12*D4)</f>
        <v/>
      </c>
      <c r="E7" s="60">
        <f>INDEX(Previsions!$C$11:$BJ$11,12*E4)</f>
        <v/>
      </c>
      <c r="F7" s="60">
        <f>INDEX(Previsions!$C$11:$BJ$11,12*F4)</f>
        <v/>
      </c>
    </row>
    <row r="8">
      <c r="A8" s="28" t="inlineStr">
        <is>
          <t>Sièges en fin d'exercice</t>
        </is>
      </c>
      <c r="B8" s="59">
        <f>INDEX(Previsions!$C$17:$BJ$17,12*B4)</f>
        <v/>
      </c>
      <c r="C8" s="59">
        <f>INDEX(Previsions!$C$17:$BJ$17,12*C4)</f>
        <v/>
      </c>
      <c r="D8" s="59">
        <f>INDEX(Previsions!$C$17:$BJ$17,12*D4)</f>
        <v/>
      </c>
      <c r="E8" s="59">
        <f>INDEX(Previsions!$C$17:$BJ$17,12*E4)</f>
        <v/>
      </c>
      <c r="F8" s="59">
        <f>INDEX(Previsions!$C$17:$BJ$17,12*F4)</f>
        <v/>
      </c>
    </row>
    <row r="9">
      <c r="A9" s="28" t="inlineStr">
        <is>
          <t>Chargés de support supplémentaires en fin d'exercice</t>
        </is>
      </c>
      <c r="B9" s="59">
        <f>INDEX(Previsions!$C$22:$BJ$22,12*B4)</f>
        <v/>
      </c>
      <c r="C9" s="59">
        <f>INDEX(Previsions!$C$22:$BJ$22,12*C4)</f>
        <v/>
      </c>
      <c r="D9" s="59">
        <f>INDEX(Previsions!$C$22:$BJ$22,12*D4)</f>
        <v/>
      </c>
      <c r="E9" s="59">
        <f>INDEX(Previsions!$C$22:$BJ$22,12*E4)</f>
        <v/>
      </c>
      <c r="F9" s="59">
        <f>INDEX(Previsions!$C$22:$BJ$22,12*F4)</f>
        <v/>
      </c>
    </row>
    <row r="10">
      <c r="A10" s="28" t="inlineStr">
        <is>
          <t>CSM dédiés en fin d'exercice</t>
        </is>
      </c>
      <c r="B10" s="59">
        <f>INDEX(Previsions!$C$23:$BJ$23,12*B4)</f>
        <v/>
      </c>
      <c r="C10" s="59">
        <f>INDEX(Previsions!$C$23:$BJ$23,12*C4)</f>
        <v/>
      </c>
      <c r="D10" s="59">
        <f>INDEX(Previsions!$C$23:$BJ$23,12*D4)</f>
        <v/>
      </c>
      <c r="E10" s="59">
        <f>INDEX(Previsions!$C$23:$BJ$23,12*E4)</f>
        <v/>
      </c>
      <c r="F10" s="59">
        <f>INDEX(Previsions!$C$23:$BJ$23,12*F4)</f>
        <v/>
      </c>
    </row>
    <row r="11">
      <c r="A11" s="28" t="inlineStr">
        <is>
          <t>Chiffre d'affaires HT (frais d'installation compris)</t>
        </is>
      </c>
      <c r="B11" s="17">
        <f>SUMIF(Previsions!$C$6:$BJ$6,B4,Previsions!$C$25:$BJ$25)+SUMIF(Previsions!$C$6:$BJ$6,B4,Previsions!$C$26:$BJ$26)</f>
        <v/>
      </c>
      <c r="C11" s="17">
        <f>SUMIF(Previsions!$C$6:$BJ$6,C4,Previsions!$C$25:$BJ$25)+SUMIF(Previsions!$C$6:$BJ$6,C4,Previsions!$C$26:$BJ$26)</f>
        <v/>
      </c>
      <c r="D11" s="17">
        <f>SUMIF(Previsions!$C$6:$BJ$6,D4,Previsions!$C$25:$BJ$25)+SUMIF(Previsions!$C$6:$BJ$6,D4,Previsions!$C$26:$BJ$26)</f>
        <v/>
      </c>
      <c r="E11" s="17">
        <f>SUMIF(Previsions!$C$6:$BJ$6,E4,Previsions!$C$25:$BJ$25)+SUMIF(Previsions!$C$6:$BJ$6,E4,Previsions!$C$26:$BJ$26)</f>
        <v/>
      </c>
      <c r="F11" s="17">
        <f>SUMIF(Previsions!$C$6:$BJ$6,F4,Previsions!$C$25:$BJ$25)+SUMIF(Previsions!$C$6:$BJ$6,F4,Previsions!$C$26:$BJ$26)</f>
        <v/>
      </c>
    </row>
    <row r="12">
      <c r="A12" s="28" t="inlineStr">
        <is>
          <t>Marge sur coûts variables</t>
        </is>
      </c>
      <c r="B12" s="17">
        <f>SUMIF(Previsions!$C$6:$BJ$6,B4,Previsions!$C$29:$BJ$29)</f>
        <v/>
      </c>
      <c r="C12" s="17">
        <f>SUMIF(Previsions!$C$6:$BJ$6,C4,Previsions!$C$29:$BJ$29)</f>
        <v/>
      </c>
      <c r="D12" s="17">
        <f>SUMIF(Previsions!$C$6:$BJ$6,D4,Previsions!$C$29:$BJ$29)</f>
        <v/>
      </c>
      <c r="E12" s="17">
        <f>SUMIF(Previsions!$C$6:$BJ$6,E4,Previsions!$C$29:$BJ$29)</f>
        <v/>
      </c>
      <c r="F12" s="17">
        <f>SUMIF(Previsions!$C$6:$BJ$6,F4,Previsions!$C$29:$BJ$29)</f>
        <v/>
      </c>
    </row>
    <row r="13">
      <c r="A13" s="28" t="inlineStr">
        <is>
          <t>(−) Charges fixes, équipes et installations</t>
        </is>
      </c>
      <c r="B13" s="21">
        <f>B14-B12</f>
        <v/>
      </c>
      <c r="C13" s="21">
        <f>C14-C12</f>
        <v/>
      </c>
      <c r="D13" s="21">
        <f>D14-D12</f>
        <v/>
      </c>
      <c r="E13" s="21">
        <f>E14-E12</f>
        <v/>
      </c>
      <c r="F13" s="21">
        <f>F14-F12</f>
        <v/>
      </c>
    </row>
    <row r="14">
      <c r="A14" s="8" t="inlineStr">
        <is>
          <t>→ Résultat avant impôt</t>
        </is>
      </c>
      <c r="B14" s="61">
        <f>SUMIF(Previsions!$C$6:$BJ$6,B4,Previsions!$C$38:$BJ$38)</f>
        <v/>
      </c>
      <c r="C14" s="61">
        <f>SUMIF(Previsions!$C$6:$BJ$6,C4,Previsions!$C$38:$BJ$38)</f>
        <v/>
      </c>
      <c r="D14" s="61">
        <f>SUMIF(Previsions!$C$6:$BJ$6,D4,Previsions!$C$38:$BJ$38)</f>
        <v/>
      </c>
      <c r="E14" s="61">
        <f>SUMIF(Previsions!$C$6:$BJ$6,E4,Previsions!$C$38:$BJ$38)</f>
        <v/>
      </c>
      <c r="F14" s="61">
        <f>SUMIF(Previsions!$C$6:$BJ$6,F4,Previsions!$C$38:$BJ$38)</f>
        <v/>
      </c>
    </row>
    <row r="15">
      <c r="A15" s="28" t="inlineStr">
        <is>
          <t>Déficits reportables à l'ouverture</t>
        </is>
      </c>
      <c r="B15" s="21" t="n">
        <v>0</v>
      </c>
      <c r="C15" s="21">
        <f>B19</f>
        <v/>
      </c>
      <c r="D15" s="21">
        <f>C19</f>
        <v/>
      </c>
      <c r="E15" s="21">
        <f>D19</f>
        <v/>
      </c>
      <c r="F15" s="21">
        <f>E19</f>
        <v/>
      </c>
    </row>
    <row r="16">
      <c r="A16" s="28" t="inlineStr">
        <is>
          <t>Déficits imputés</t>
        </is>
      </c>
      <c r="B16" s="21">
        <f>MIN(B15,MAX(0,B14)*Hypotheses!$B$62)</f>
        <v/>
      </c>
      <c r="C16" s="21">
        <f>MIN(C15,MAX(0,C14)*Hypotheses!$B$62)</f>
        <v/>
      </c>
      <c r="D16" s="21">
        <f>MIN(D15,MAX(0,D14)*Hypotheses!$B$62)</f>
        <v/>
      </c>
      <c r="E16" s="21">
        <f>MIN(E15,MAX(0,E14)*Hypotheses!$B$62)</f>
        <v/>
      </c>
      <c r="F16" s="21">
        <f>MIN(F15,MAX(0,F14)*Hypotheses!$B$62)</f>
        <v/>
      </c>
    </row>
    <row r="17">
      <c r="A17" s="28" t="inlineStr">
        <is>
          <t>Résultat fiscal imposable</t>
        </is>
      </c>
      <c r="B17" s="21">
        <f>MAX(0,B14-B16)</f>
        <v/>
      </c>
      <c r="C17" s="21">
        <f>MAX(0,C14-C16)</f>
        <v/>
      </c>
      <c r="D17" s="21">
        <f>MAX(0,D14-D16)</f>
        <v/>
      </c>
      <c r="E17" s="21">
        <f>MAX(0,E14-E16)</f>
        <v/>
      </c>
      <c r="F17" s="21">
        <f>MAX(0,F14-F16)</f>
        <v/>
      </c>
    </row>
    <row r="18">
      <c r="A18" s="28" t="inlineStr">
        <is>
          <t>IS + taxe locale sur le revenu (exonération déduite)</t>
        </is>
      </c>
      <c r="B18" s="21">
        <f>(MIN(B17,Hypotheses!$A$56)*Hypotheses!$B$56+MAX(0,MIN(B17,Hypotheses!$A$57)-Hypotheses!$A$56)*Hypotheses!$B$57+MAX(0,MIN(B17,Hypotheses!$A$58)-Hypotheses!$A$57)*Hypotheses!$B$58+MAX(0,B17-Hypotheses!$A$58)*Hypotheses!$B$59)*(1+Hypotheses!$B$60)*(1-Hypotheses!$B$61)</f>
        <v/>
      </c>
      <c r="C18" s="21">
        <f>(MIN(C17,Hypotheses!$A$56)*Hypotheses!$B$56+MAX(0,MIN(C17,Hypotheses!$A$57)-Hypotheses!$A$56)*Hypotheses!$B$57+MAX(0,MIN(C17,Hypotheses!$A$58)-Hypotheses!$A$57)*Hypotheses!$B$58+MAX(0,C17-Hypotheses!$A$58)*Hypotheses!$B$59)*(1+Hypotheses!$B$60)*(1-Hypotheses!$B$61)</f>
        <v/>
      </c>
      <c r="D18" s="21">
        <f>(MIN(D17,Hypotheses!$A$56)*Hypotheses!$B$56+MAX(0,MIN(D17,Hypotheses!$A$57)-Hypotheses!$A$56)*Hypotheses!$B$57+MAX(0,MIN(D17,Hypotheses!$A$58)-Hypotheses!$A$57)*Hypotheses!$B$58+MAX(0,D17-Hypotheses!$A$58)*Hypotheses!$B$59)*(1+Hypotheses!$B$60)*(1-Hypotheses!$B$61)</f>
        <v/>
      </c>
      <c r="E18" s="21">
        <f>(MIN(E17,Hypotheses!$A$56)*Hypotheses!$B$56+MAX(0,MIN(E17,Hypotheses!$A$57)-Hypotheses!$A$56)*Hypotheses!$B$57+MAX(0,MIN(E17,Hypotheses!$A$58)-Hypotheses!$A$57)*Hypotheses!$B$58+MAX(0,E17-Hypotheses!$A$58)*Hypotheses!$B$59)*(1+Hypotheses!$B$60)*(1-Hypotheses!$B$61)</f>
        <v/>
      </c>
      <c r="F18" s="21">
        <f>(MIN(F17,Hypotheses!$A$56)*Hypotheses!$B$56+MAX(0,MIN(F17,Hypotheses!$A$57)-Hypotheses!$A$56)*Hypotheses!$B$57+MAX(0,MIN(F17,Hypotheses!$A$58)-Hypotheses!$A$57)*Hypotheses!$B$58+MAX(0,F17-Hypotheses!$A$58)*Hypotheses!$B$59)*(1+Hypotheses!$B$60)*(1-Hypotheses!$B$61)</f>
        <v/>
      </c>
    </row>
    <row r="19">
      <c r="A19" s="28" t="inlineStr">
        <is>
          <t>Déficits reportables à la clôture</t>
        </is>
      </c>
      <c r="B19" s="21">
        <f>B15-B16+MAX(0,-B14)</f>
        <v/>
      </c>
      <c r="C19" s="21">
        <f>C15-C16+MAX(0,-C14)</f>
        <v/>
      </c>
      <c r="D19" s="21">
        <f>D15-D16+MAX(0,-D14)</f>
        <v/>
      </c>
      <c r="E19" s="21">
        <f>E15-E16+MAX(0,-E14)</f>
        <v/>
      </c>
      <c r="F19" s="21">
        <f>F15-F16+MAX(0,-F14)</f>
        <v/>
      </c>
    </row>
    <row r="20">
      <c r="A20" s="8" t="inlineStr">
        <is>
          <t>→ Résultat après impôt</t>
        </is>
      </c>
      <c r="B20" s="11">
        <f>B14-B18</f>
        <v/>
      </c>
      <c r="C20" s="11">
        <f>C14-C18</f>
        <v/>
      </c>
      <c r="D20" s="11">
        <f>D14-D18</f>
        <v/>
      </c>
      <c r="E20" s="11">
        <f>E14-E18</f>
        <v/>
      </c>
      <c r="F20" s="11">
        <f>F14-F18</f>
        <v/>
      </c>
    </row>
    <row r="21">
      <c r="A21" s="28" t="inlineStr">
        <is>
          <t>(−) Part de l'investisseur (6 %)</t>
        </is>
      </c>
      <c r="B21" s="21">
        <f>MAX(0,B20)*Hypotheses!$B$65</f>
        <v/>
      </c>
      <c r="C21" s="21">
        <f>MAX(0,C20)*Hypotheses!$B$65</f>
        <v/>
      </c>
      <c r="D21" s="21">
        <f>MAX(0,D20)*Hypotheses!$B$65</f>
        <v/>
      </c>
      <c r="E21" s="21">
        <f>MAX(0,E20)*Hypotheses!$B$65</f>
        <v/>
      </c>
      <c r="F21" s="21">
        <f>MAX(0,F20)*Hypotheses!$B$65</f>
        <v/>
      </c>
    </row>
    <row r="22">
      <c r="A22" s="8" t="inlineStr">
        <is>
          <t>→ Bénéfice net</t>
        </is>
      </c>
      <c r="B22" s="49">
        <f>B20-B21</f>
        <v/>
      </c>
      <c r="C22" s="49">
        <f>C20-C21</f>
        <v/>
      </c>
      <c r="D22" s="49">
        <f>D20-D21</f>
        <v/>
      </c>
      <c r="E22" s="49">
        <f>E20-E21</f>
        <v/>
      </c>
      <c r="F22" s="49">
        <f>F20-F21</f>
        <v/>
      </c>
    </row>
    <row r="23">
      <c r="A23" s="28" t="inlineStr">
        <is>
          <t>Marge nette</t>
        </is>
      </c>
      <c r="B23" s="15">
        <f>IF(B11&gt;0,B22/B11,0)</f>
        <v/>
      </c>
      <c r="C23" s="15">
        <f>IF(C11&gt;0,C22/C11,0)</f>
        <v/>
      </c>
      <c r="D23" s="15">
        <f>IF(D11&gt;0,D22/D11,0)</f>
        <v/>
      </c>
      <c r="E23" s="15">
        <f>IF(E11&gt;0,E22/E11,0)</f>
        <v/>
      </c>
      <c r="F23" s="15">
        <f>IF(F11&gt;0,F22/F11,0)</f>
        <v/>
      </c>
    </row>
    <row r="24">
      <c r="A24" s="28" t="inlineStr">
        <is>
          <t>Clé de répartition : résultat des mois bénéficiaires</t>
        </is>
      </c>
      <c r="B24" s="17">
        <f>SUMIFS(Previsions!$C$38:$BJ$38,Previsions!$C$6:$BJ$6,B4,Previsions!$C$38:$BJ$38,"&gt;0")</f>
        <v/>
      </c>
      <c r="C24" s="17">
        <f>SUMIFS(Previsions!$C$38:$BJ$38,Previsions!$C$6:$BJ$6,C4,Previsions!$C$38:$BJ$38,"&gt;0")</f>
        <v/>
      </c>
      <c r="D24" s="17">
        <f>SUMIFS(Previsions!$C$38:$BJ$38,Previsions!$C$6:$BJ$6,D4,Previsions!$C$38:$BJ$38,"&gt;0")</f>
        <v/>
      </c>
      <c r="E24" s="17">
        <f>SUMIFS(Previsions!$C$38:$BJ$38,Previsions!$C$6:$BJ$6,E4,Previsions!$C$38:$BJ$38,"&gt;0")</f>
        <v/>
      </c>
      <c r="F24" s="17">
        <f>SUMIFS(Previsions!$C$38:$BJ$38,Previsions!$C$6:$BJ$6,F4,Previsions!$C$38:$BJ$38,"&gt;0")</f>
        <v/>
      </c>
    </row>
    <row r="26">
      <c r="A26" s="6" t="inlineStr">
        <is>
          <t>Note : l'IS et la part de l'investisseur annuels sont répartis sur les mois bénéficiaires de l'exercice, au prorata du résultat. Exercice en perte : 0.</t>
        </is>
      </c>
    </row>
    <row r="27">
      <c r="A27" s="6" t="inlineStr">
        <is>
          <t>Note : juridiquement, la part de 6 % de l'investisseur n'est pas une charge mais une distribution (dividende). Elle est déduite ici, comme demandé, pour isoler le bénéfice revenant aux fondateurs.</t>
        </is>
      </c>
    </row>
  </sheetData>
  <conditionalFormatting sqref="B22:F22">
    <cfRule type="cellIs" priority="1" operator="lessThan" dxfId="3">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2026-09-24T09:51:37Z</dcterms:created>
  <dcterms:modified xsi:type="dcterms:W3CDTF">2026-09-24T09:51:37Z</dcterms:modified>
</cp:coreProperties>
</file>