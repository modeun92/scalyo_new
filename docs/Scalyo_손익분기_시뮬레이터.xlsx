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사용안내" sheetId="1" state="visible" r:id="rId1"/>
    <sheet name="결과요약" sheetId="2" state="visible" r:id="rId2"/>
    <sheet name="입력값" sheetId="3" state="visible" r:id="rId3"/>
    <sheet name="손익분기계산기" sheetId="4" state="visible" r:id="rId4"/>
    <sheet name="월별전망" sheetId="5" state="visible" r:id="rId5"/>
    <sheet name="연도별요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#,##0;(#,##0);&quot;-&quot;"/>
    <numFmt numFmtId="165" formatCode="0.0%;(0.0%);&quot;-&quot;"/>
    <numFmt numFmtId="166" formatCode="0.0000"/>
    <numFmt numFmtId="167" formatCode="0.00%;(0.00%);&quot;-&quot;"/>
    <numFmt numFmtId="168" formatCode="yyyy-mm-dd"/>
    <numFmt numFmtId="169" formatCode="yyyy-mm"/>
    <numFmt numFmtId="170" formatCode="#,##0.0"/>
    <numFmt numFmtId="171" formatCode="#,##0.0;(#,##0.0);&quot;-&quot;"/>
    <numFmt numFmtId="172" formatCode="#,##0.0&quot; h&quot;;(#,##0.0&quot; h&quot;);&quot;-&quot;"/>
    <numFmt numFmtId="173" formatCode="&quot;Y&quot;0"/>
    <numFmt numFmtId="174" formatCode="0&quot;개월차&quot;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C00000"/>
      <sz val="9"/>
    </font>
    <font>
      <name val="Arial"/>
      <color rgb="00008000"/>
      <sz val="10"/>
    </font>
    <font>
      <name val="Arial"/>
      <b val="1"/>
      <color rgb="0000800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74" fontId="5" fillId="5" borderId="1" pivotButton="0" quotePrefix="0" xfId="0"/>
    <xf numFmtId="169" fontId="5" fillId="5" borderId="1" pivotButton="0" quotePrefix="0" xfId="0"/>
    <xf numFmtId="164" fontId="5" fillId="0" borderId="1" pivotButton="0" quotePrefix="0" xfId="0"/>
    <xf numFmtId="169" fontId="6" fillId="0" borderId="1" pivotButton="0" quotePrefix="0" xfId="0"/>
    <xf numFmtId="171" fontId="6" fillId="0" borderId="1" pivotButton="0" quotePrefix="0" xfId="0"/>
    <xf numFmtId="165" fontId="6" fillId="0" borderId="1" pivotButton="0" quotePrefix="0" xfId="0"/>
    <xf numFmtId="173" fontId="9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3" fillId="2" borderId="0" pivotButton="0" quotePrefix="0" xfId="0"/>
    <xf numFmtId="0" fontId="0" fillId="2" borderId="0" pivotButton="0" quotePrefix="0" xfId="0"/>
    <xf numFmtId="164" fontId="6" fillId="0" borderId="1" pivotButton="0" quotePrefix="0" xfId="0"/>
    <xf numFmtId="3" fontId="6" fillId="0" borderId="1" pivotButton="0" quotePrefix="0" xfId="0"/>
    <xf numFmtId="3" fontId="6" fillId="0" borderId="1" applyAlignment="1" pivotButton="0" quotePrefix="0" xfId="0">
      <alignment horizontal="right"/>
    </xf>
    <xf numFmtId="164" fontId="7" fillId="4" borderId="1" pivotButton="0" quotePrefix="0" xfId="0"/>
    <xf numFmtId="3" fontId="7" fillId="4" borderId="1" pivotButton="0" quotePrefix="0" xfId="0"/>
    <xf numFmtId="0" fontId="6" fillId="0" borderId="1" pivotButton="0" quotePrefix="0" xfId="0"/>
    <xf numFmtId="0" fontId="7" fillId="4" borderId="1" pivotButton="0" quotePrefix="0" xfId="0"/>
    <xf numFmtId="165" fontId="7" fillId="4" borderId="1" pivotButton="0" quotePrefix="0" xfId="0"/>
    <xf numFmtId="166" fontId="6" fillId="0" borderId="1" pivotButton="0" quotePrefix="0" xfId="0"/>
    <xf numFmtId="167" fontId="7" fillId="4" borderId="1" pivotButton="0" quotePrefix="0" xfId="0"/>
    <xf numFmtId="167" fontId="5" fillId="0" borderId="1" pivotButton="0" quotePrefix="0" xfId="0"/>
    <xf numFmtId="169" fontId="7" fillId="4" borderId="1" pivotButton="0" quotePrefix="0" xfId="0"/>
    <xf numFmtId="170" fontId="7" fillId="4" borderId="1" pivotButton="0" quotePrefix="0" xfId="0"/>
    <xf numFmtId="171" fontId="7" fillId="4" borderId="1" pivotButton="0" quotePrefix="0" xfId="0"/>
    <xf numFmtId="0" fontId="8" fillId="0" borderId="0" pivotButton="0" quotePrefix="0" xfId="0"/>
    <xf numFmtId="165" fontId="5" fillId="0" borderId="1" pivotButton="0" quotePrefix="0" xfId="0"/>
    <xf numFmtId="171" fontId="5" fillId="0" borderId="1" pivotButton="0" quotePrefix="0" xfId="0"/>
    <xf numFmtId="172" fontId="5" fillId="0" borderId="1" pivotButton="0" quotePrefix="0" xfId="0"/>
    <xf numFmtId="172" fontId="7" fillId="4" borderId="1" pivotButton="0" quotePrefix="0" xfId="0"/>
    <xf numFmtId="1" fontId="7" fillId="4" borderId="1" pivotButton="0" quotePrefix="0" xfId="0"/>
    <xf numFmtId="172" fontId="6" fillId="0" borderId="1" pivotButton="0" quotePrefix="0" xfId="0"/>
    <xf numFmtId="0" fontId="2" fillId="0" borderId="1" pivotButton="0" quotePrefix="0" xfId="0"/>
    <xf numFmtId="165" fontId="6" fillId="5" borderId="1" pivotButton="0" quotePrefix="0" xfId="0"/>
    <xf numFmtId="170" fontId="6" fillId="0" borderId="1" pivotButton="0" quotePrefix="0" xfId="0"/>
    <xf numFmtId="0" fontId="3" fillId="0" borderId="0" pivotButton="0" quotePrefix="0" xfId="0"/>
    <xf numFmtId="164" fontId="5" fillId="5" borderId="1" pivotButton="0" quotePrefix="0" xfId="0"/>
    <xf numFmtId="170" fontId="5" fillId="0" borderId="1" pivotButton="0" quotePrefix="0" xfId="0"/>
    <xf numFmtId="0" fontId="5" fillId="5" borderId="1" pivotButton="0" quotePrefix="0" xfId="0"/>
    <xf numFmtId="170" fontId="5" fillId="5" borderId="1" pivotButton="0" quotePrefix="0" xfId="0"/>
    <xf numFmtId="1" fontId="5" fillId="0" borderId="1" pivotButton="0" quotePrefix="0" xfId="0"/>
    <xf numFmtId="169" fontId="5" fillId="0" borderId="1" pivotButton="0" quotePrefix="0" xfId="0"/>
    <xf numFmtId="1" fontId="6" fillId="0" borderId="1" pivotButton="0" quotePrefix="0" xfId="0"/>
    <xf numFmtId="1" fontId="2" fillId="0" borderId="1" pivotButton="0" quotePrefix="0" xfId="0"/>
    <xf numFmtId="173" fontId="5" fillId="0" borderId="1" pivotButton="0" quotePrefix="0" xfId="0"/>
    <xf numFmtId="171" fontId="9" fillId="0" borderId="1" pivotButton="0" quotePrefix="0" xfId="0"/>
    <xf numFmtId="3" fontId="9" fillId="0" borderId="1" pivotButton="0" quotePrefix="0" xfId="0"/>
    <xf numFmtId="164" fontId="10" fillId="0" borderId="1" pivotButton="0" quotePrefix="0" xfId="0"/>
  </cellXfs>
  <cellStyles count="1">
    <cellStyle name="Normal" xfId="0" builtinId="0" hidden="0"/>
  </cellStyles>
  <dxfs count="4">
    <dxf>
      <font>
        <name val="Arial"/>
        <color rgb="00C00000"/>
      </font>
    </dxf>
    <dxf>
      <font>
        <name val="Arial"/>
        <color rgb="00C00000"/>
      </font>
      <fill>
        <patternFill patternType="solid">
          <fgColor rgb="00FCE4E4"/>
        </patternFill>
      </fill>
    </dxf>
    <dxf>
      <font>
        <name val="Arial"/>
        <color rgb="00006100"/>
      </font>
      <fill>
        <patternFill patternType="solid">
          <fgColor rgb="00E2EFDA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월 순이익과 누적 순이익 (원)</a:t>
            </a:r>
          </a:p>
        </rich>
      </tx>
    </title>
    <plotArea>
      <lineChart>
        <grouping val="standard"/>
        <ser>
          <idx val="0"/>
          <order val="0"/>
          <tx>
            <strRef>
              <f>'월별전망'!A41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'월별전망'!$C$4:$BJ$4</f>
            </numRef>
          </cat>
          <val>
            <numRef>
              <f>'월별전망'!$B$41:$BJ$41</f>
            </numRef>
          </val>
        </ser>
        <ser>
          <idx val="1"/>
          <order val="1"/>
          <tx>
            <strRef>
              <f>'월별전망'!A42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'월별전망'!$C$4:$BJ$4</f>
            </numRef>
          </cat>
          <val>
            <numRef>
              <f>'월별전망'!$B$42:$BJ$42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개월차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원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Scalyo 손익분기 시뮬레이터</t>
        </is>
      </c>
    </row>
    <row r="2">
      <c r="A2" s="2" t="inlineStr">
        <is>
          <t>작성 기준일: 2026-09-24 · 요금은 코드(functions/api/_config/prices.js) 기준 seat당 월 과금</t>
        </is>
      </c>
    </row>
    <row r="3">
      <c r="A3" s="3" t="inlineStr"/>
    </row>
    <row r="4">
      <c r="A4" s="4" t="inlineStr">
        <is>
          <t>무엇을 알 수 있나</t>
        </is>
      </c>
    </row>
    <row r="5">
      <c r="A5" s="3" t="inlineStr">
        <is>
          <t>① ‘손익분기계산기’: 평균 고객사 수 × 고객사당 seat 수를 넣으면 월 순이익, 필요한 CS 인력, Enterprise 1곳당 이익, 손익분기 고객사·seat 수가 나옵니다.</t>
        </is>
      </c>
    </row>
    <row r="6">
      <c r="A6" s="3" t="inlineStr">
        <is>
          <t>② ‘결과요약’: 성장 가정대로 가면 언제 월 순이익 흑자·누적 손익분기·자금 소진·추가 CS 채용이 오는지 보여줍니다.</t>
        </is>
      </c>
    </row>
    <row r="7">
      <c r="A7" s="3" t="inlineStr">
        <is>
          <t>③ ‘월별전망’ / ‘연도별요약’: 60개월 월별 손익과 5개년 요약 (법인세 누진세율·이월결손금 반영).</t>
        </is>
      </c>
    </row>
    <row r="8">
      <c r="A8" s="3" t="inlineStr"/>
    </row>
    <row r="9">
      <c r="A9" s="4" t="inlineStr">
        <is>
          <t>순이익 정의 (요청 기준)</t>
        </is>
      </c>
    </row>
    <row r="10">
      <c r="A10" s="3" t="inlineStr">
        <is>
          <t>매출 − 결제 수수료 − seat 변동비(플랜별 AI 비용 포함) − 인건비(직원 3명) − 추가 CS 인력 − Enterprise 전담 CSM·유지보수·구축비 − 월세 − 기타 고정비 = 세전이익</t>
        </is>
      </c>
    </row>
    <row r="11">
      <c r="A11" s="3" t="inlineStr">
        <is>
          <t>세전이익 − 법인세·지방소득세 = 세후이익 → 세후이익 − 투자자 지분 6% = 순이익</t>
        </is>
      </c>
    </row>
    <row r="12">
      <c r="A12" s="3" t="inlineStr"/>
    </row>
    <row r="13">
      <c r="A13" s="4" t="inlineStr">
        <is>
          <t>플랜별로 달라지는 비용</t>
        </is>
      </c>
    </row>
    <row r="14">
      <c r="A14" s="3" t="inlineStr">
        <is>
          <t>• AI 비용: seat당 월 비용을 플랜별로 입력. Elite부터 AI 이메일 스튜디오·자동 플레이북 때문에 크게 늘어납니다.</t>
        </is>
      </c>
    </row>
    <row r="15">
      <c r="A15" s="3" t="inlineStr">
        <is>
          <t>• 고객 대응 시간: 이메일(seat 단위), 전화·정기 미팅(고객사 단위), 온보딩(신규 1회). 높은 플랜일수록 많습니다. 기존 3명이 감당 못 하면 추가 CS 인력이 자동으로 비용에 들어갑니다.</t>
        </is>
      </c>
    </row>
    <row r="16">
      <c r="A16" s="3" t="inlineStr">
        <is>
          <t>• Enterprise: 고객사 서버 구축비(1회), 서버 유지보수(월), 고객사당 전담 CSM 1~2명. 계약은 ‘입력값’ 10번 표에 한 건씩 입력합니다.</t>
        </is>
      </c>
    </row>
    <row r="17">
      <c r="A17" s="3" t="inlineStr"/>
    </row>
    <row r="18">
      <c r="A18" s="4" t="inlineStr">
        <is>
          <t>색상 규칙</t>
        </is>
      </c>
    </row>
    <row r="19">
      <c r="A19" s="3" t="inlineStr">
        <is>
          <t>노란 칸 + 파란 글씨 = 직접 입력하는 값 · 검은 글씨 = 계산식 · 초록 글씨 = 다른 시트 값을 가져온 것 · 연녹색 칸 = 핵심 결과</t>
        </is>
      </c>
    </row>
    <row r="20">
      <c r="A20" s="3" t="inlineStr"/>
    </row>
    <row r="21">
      <c r="A21" s="4" t="inlineStr">
        <is>
          <t>사용 순서</t>
        </is>
      </c>
    </row>
    <row r="22">
      <c r="A22" s="3" t="inlineStr">
        <is>
          <t>1) ‘입력값’에서 연봉 3명, 월세·보증금, 기타 고정비, 플랜별 AI 비용, 결제 수수료, 시작 현금을 실제 값으로 바꿉니다.</t>
        </is>
      </c>
    </row>
    <row r="23">
      <c r="A23" s="3" t="inlineStr">
        <is>
          <t>2) ‘입력값’ 9번(고객 대응 시간)과 10번(Enterprise 구축비·CSM·계약)을 채웁니다.</t>
        </is>
      </c>
    </row>
    <row r="24">
      <c r="A24" s="3" t="inlineStr">
        <is>
          <t>3) ‘손익분기계산기’ 1번 표에 플랜별 평균 고객사 수와 seat를 넣어 현재·목표 상황을 확인합니다.</t>
        </is>
      </c>
    </row>
    <row r="25">
      <c r="A25" s="3" t="inlineStr">
        <is>
          <t>4) ‘입력값’ 8번(성장 가정)을 넣고 ‘결과요약’에서 흑자 시점을 확인합니다.</t>
        </is>
      </c>
    </row>
    <row r="26">
      <c r="A26" s="3" t="inlineStr"/>
    </row>
    <row r="27">
      <c r="A27" s="4" t="inlineStr">
        <is>
          <t>주요 가정과 한계 (반드시 확인)</t>
        </is>
      </c>
    </row>
    <row r="28">
      <c r="A28" s="3" t="inlineStr">
        <is>
          <t>• 모든 예시 숫자(연봉, 월세, 보증금, AI 비용, 대응 시간, 구축비, CSM 연봉, 수수료, 환율, 성장률, 시작 현금)는 가정값입니다.</t>
        </is>
      </c>
    </row>
    <row r="29">
      <c r="A29" s="3" t="inlineStr">
        <is>
          <t>• Enterprise 요금은 코드에 없습니다(별도 협의). Elite 가격을 임시로 넣었습니다.</t>
        </is>
      </c>
    </row>
    <row r="30">
      <c r="A30" s="3" t="inlineStr">
        <is>
          <t>• 보증금은 돌려받는 돈이라 비용이 아니며, 1개월차 현금에서만 빠집니다(60개월 내 반환 없음 가정).</t>
        </is>
      </c>
    </row>
    <row r="31">
      <c r="A31" s="3" t="inlineStr">
        <is>
          <t>• 세금은 법인 기준(법인세 + 지방소득세 10%)이며, 세율·4대보험 요율은 2026년 추정입니다. 세무사 확인이 필요합니다.</t>
        </is>
      </c>
    </row>
    <row r="32">
      <c r="A32" s="3" t="inlineStr">
        <is>
          <t>• 부가세는 매출·비용이 아닌 예수금으로 보고 제외했습니다.</t>
        </is>
      </c>
    </row>
    <row r="33">
      <c r="A33" s="3" t="inlineStr">
        <is>
          <t>• 투자자 6%는 세후이익이 양(+)일 때만 차감합니다. 법적으로는 비용이 아니라 이익 배분입니다.</t>
        </is>
      </c>
    </row>
    <row r="34">
      <c r="A34" s="3" t="inlineStr">
        <is>
          <t>• 계산기의 세금은 이월결손금을 반영하지 않은 보수적 추정이며, 온보딩·구축비 같은 1회성 비용은 계산기에서 제외됩니다(월별전망에는 포함).</t>
        </is>
      </c>
    </row>
    <row r="35">
      <c r="A35" s="3" t="inlineStr">
        <is>
          <t>• 14일 무료체험, 연간 할인, 환불, 창업자 급여, 감가상각, 정부지원금은 반영하지 않았습니다.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16" customWidth="1" min="3" max="3"/>
    <col width="66" customWidth="1" min="4" max="4"/>
  </cols>
  <sheetData>
    <row r="1">
      <c r="A1" s="5" t="inlineStr">
        <is>
          <t>결과 요약 — 언제 순이익이 나는가</t>
        </is>
      </c>
    </row>
    <row r="2">
      <c r="A2" s="6" t="inlineStr">
        <is>
          <t>‘입력값’ 시트의 가정(특히 8~10번)을 바꾸면 자동으로 다시 계산됩니다.</t>
        </is>
      </c>
    </row>
    <row r="4">
      <c r="A4" s="7" t="inlineStr">
        <is>
          <t>지표</t>
        </is>
      </c>
      <c r="B4" s="7" t="inlineStr">
        <is>
          <t>개월차</t>
        </is>
      </c>
      <c r="C4" s="7" t="inlineStr">
        <is>
          <t>시점</t>
        </is>
      </c>
      <c r="D4" s="7" t="inlineStr">
        <is>
          <t>비고</t>
        </is>
      </c>
    </row>
    <row r="5">
      <c r="A5" s="8" t="inlineStr">
        <is>
          <t>첫 월 순이익 흑자</t>
        </is>
      </c>
      <c r="B5" s="9">
        <f>IF(MIN(월별전망!$C$46:$BJ$46)=9999,"60개월 내 없음",MIN(월별전망!$C$46:$BJ$46))</f>
        <v/>
      </c>
      <c r="C5" s="10">
        <f>IF(ISNUMBER(B5),EDATE(입력값!$B$67,B5-1),"—")</f>
        <v/>
      </c>
      <c r="D5" s="6" t="inlineStr">
        <is>
          <t>세금·투자자 6%·인건비·월세·CS·전담 CSM을 모두 뺀 월 순이익이 처음 0보다 커지는 달</t>
        </is>
      </c>
    </row>
    <row r="6">
      <c r="A6" s="8" t="inlineStr">
        <is>
          <t>누적 손익분기 (초기 적자 전액 회수)</t>
        </is>
      </c>
      <c r="B6" s="9">
        <f>IF(MIN(월별전망!$C$47:$BJ$47)=9999,"60개월 내 없음",MIN(월별전망!$C$47:$BJ$47))</f>
        <v/>
      </c>
      <c r="C6" s="10">
        <f>IF(ISNUMBER(B6),EDATE(입력값!$B$67,B6-1),"—")</f>
        <v/>
      </c>
      <c r="D6" s="6" t="inlineStr">
        <is>
          <t>그동안의 누적 적자를 모두 메워 누적 순이익이 0 이상이 되는 달</t>
        </is>
      </c>
    </row>
    <row r="7">
      <c r="A7" s="8" t="inlineStr">
        <is>
          <t>현금 소진 (현금 잔액 &lt; 0)</t>
        </is>
      </c>
      <c r="B7" s="9">
        <f>IF(MIN(월별전망!$C$48:$BJ$48)=9999,"60개월 내 없음",MIN(월별전망!$C$48:$BJ$48))</f>
        <v/>
      </c>
      <c r="C7" s="10">
        <f>IF(ISNUMBER(B7),EDATE(입력값!$B$67,B7-1),"—")</f>
        <v/>
      </c>
      <c r="D7" s="6" t="inlineStr">
        <is>
          <t>시작 현금(보증금 차감 후)으로 버틸 수 있는 한계. ‘없음’이면 60개월 내 자금 부족 없음</t>
        </is>
      </c>
    </row>
    <row r="8">
      <c r="A8" s="8" t="inlineStr">
        <is>
          <t>추가 CS 인력 첫 필요 시점</t>
        </is>
      </c>
      <c r="B8" s="9">
        <f>IF(MIN(월별전망!$C$49:$BJ$49)=9999,"60개월 내 없음",MIN(월별전망!$C$49:$BJ$49))</f>
        <v/>
      </c>
      <c r="C8" s="10">
        <f>IF(ISNUMBER(B8),EDATE(입력값!$B$67,B8-1),"—")</f>
        <v/>
      </c>
      <c r="D8" s="6" t="inlineStr">
        <is>
          <t>셀프서브 고객 대응 시간이 기존 3명의 가능 시간을 처음 넘는 달</t>
        </is>
      </c>
    </row>
    <row r="9">
      <c r="A9" s="8" t="inlineStr">
        <is>
          <t>최저 현금 잔액</t>
        </is>
      </c>
      <c r="B9" s="11">
        <f>MIN(월별전망!$C$44:$BJ$44)</f>
        <v/>
      </c>
      <c r="C9" s="12">
        <f>INDEX(월별전망!$C$5:$BJ$5,MATCH(B9,월별전망!$C$44:$BJ$44,0))</f>
        <v/>
      </c>
      <c r="D9" s="6" t="inlineStr">
        <is>
          <t>필요한 최소 자금 = 시작 현금 − 최저 현금 잔액 (보증금 포함)</t>
        </is>
      </c>
    </row>
    <row r="10">
      <c r="A10" s="8" t="inlineStr">
        <is>
          <t>필요 최소 자금</t>
        </is>
      </c>
      <c r="B10" s="11">
        <f>MAX(0,입력값!$B$72-B9)</f>
        <v/>
      </c>
    </row>
    <row r="11">
      <c r="A11" s="8" t="inlineStr">
        <is>
          <t>첫 흑자 월의 고객사 수 / seat 수</t>
        </is>
      </c>
      <c r="B11" s="13">
        <f>IF(ISNUMBER(B5),INDEX(월별전망!$C$10:$BJ$10,B5)+INDEX(월별전망!$C$11:$BJ$11,B5),"—")</f>
        <v/>
      </c>
      <c r="C11" s="13">
        <f>IF(ISNUMBER(B5),INDEX(월별전망!$C$17:$BJ$17,B5),"—")</f>
        <v/>
      </c>
      <c r="D11" s="6" t="inlineStr">
        <is>
          <t>고객사 수(B, Enterprise 포함) · 총 seat(C)</t>
        </is>
      </c>
    </row>
    <row r="12">
      <c r="A12" s="8" t="inlineStr">
        <is>
          <t>최대 CS 가동률</t>
        </is>
      </c>
      <c r="B12" s="14">
        <f>MAX(월별전망!$C$21:$BJ$21)</f>
        <v/>
      </c>
      <c r="D12" s="6" t="inlineStr">
        <is>
          <t>100%를 넘으면 그만큼 추가 인력이 필요했다는 뜻</t>
        </is>
      </c>
    </row>
    <row r="14">
      <c r="A14" s="7" t="inlineStr">
        <is>
          <t>연차</t>
        </is>
      </c>
      <c r="B14" s="7" t="inlineStr">
        <is>
          <t>매출 (원)</t>
        </is>
      </c>
      <c r="C14" s="7" t="inlineStr">
        <is>
          <t>순이익 (원)</t>
        </is>
      </c>
      <c r="D14" s="7" t="inlineStr">
        <is>
          <t>순이익률</t>
        </is>
      </c>
    </row>
    <row r="15">
      <c r="A15" s="15">
        <f>연도별요약!B4</f>
        <v/>
      </c>
      <c r="B15" s="16">
        <f>연도별요약!B11</f>
        <v/>
      </c>
      <c r="C15" s="16">
        <f>연도별요약!B22</f>
        <v/>
      </c>
      <c r="D15" s="17">
        <f>연도별요약!B23</f>
        <v/>
      </c>
    </row>
    <row r="16">
      <c r="A16" s="15">
        <f>연도별요약!C4</f>
        <v/>
      </c>
      <c r="B16" s="16">
        <f>연도별요약!C11</f>
        <v/>
      </c>
      <c r="C16" s="16">
        <f>연도별요약!C22</f>
        <v/>
      </c>
      <c r="D16" s="17">
        <f>연도별요약!C23</f>
        <v/>
      </c>
    </row>
    <row r="17">
      <c r="A17" s="15">
        <f>연도별요약!D4</f>
        <v/>
      </c>
      <c r="B17" s="16">
        <f>연도별요약!D11</f>
        <v/>
      </c>
      <c r="C17" s="16">
        <f>연도별요약!D22</f>
        <v/>
      </c>
      <c r="D17" s="17">
        <f>연도별요약!D23</f>
        <v/>
      </c>
    </row>
    <row r="18">
      <c r="A18" s="15">
        <f>연도별요약!E4</f>
        <v/>
      </c>
      <c r="B18" s="16">
        <f>연도별요약!E11</f>
        <v/>
      </c>
      <c r="C18" s="16">
        <f>연도별요약!E22</f>
        <v/>
      </c>
      <c r="D18" s="17">
        <f>연도별요약!E23</f>
        <v/>
      </c>
    </row>
    <row r="19">
      <c r="A19" s="15">
        <f>연도별요약!F4</f>
        <v/>
      </c>
      <c r="B19" s="16">
        <f>연도별요약!F11</f>
        <v/>
      </c>
      <c r="C19" s="16">
        <f>연도별요약!F22</f>
        <v/>
      </c>
      <c r="D19" s="17">
        <f>연도별요약!F23</f>
        <v/>
      </c>
    </row>
  </sheetData>
  <conditionalFormatting sqref="C15:C19">
    <cfRule type="cellIs" priority="1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4" customWidth="1" min="5" max="5"/>
    <col width="18" customWidth="1" min="6" max="6"/>
    <col width="72" customWidth="1" min="7" max="7"/>
  </cols>
  <sheetData>
    <row r="1">
      <c r="A1" s="5" t="inlineStr">
        <is>
          <t>입력값 — 노란 칸(파란 글씨)만 수정하세요</t>
        </is>
      </c>
    </row>
    <row r="2">
      <c r="A2" s="6" t="inlineStr">
        <is>
          <t>모든 금액은 원(KRW) 기준. 예시값은 가정이며, 실제 값으로 바꿔 넣어야 합니다.</t>
        </is>
      </c>
    </row>
    <row r="4">
      <c r="A4" s="18" t="inlineStr">
        <is>
          <t>1. Scalyo 요금제 (seat당 월 요금) — 출처: app-v2/frontend/functions/api/_config/prices.js, src/config/plans.config.js</t>
        </is>
      </c>
      <c r="B4" s="19" t="n"/>
      <c r="C4" s="19" t="n"/>
      <c r="D4" s="19" t="n"/>
      <c r="E4" s="19" t="n"/>
      <c r="F4" s="19" t="n"/>
      <c r="G4" s="19" t="n"/>
    </row>
    <row r="5">
      <c r="A5" s="7" t="inlineStr">
        <is>
          <t>플랜</t>
        </is>
      </c>
      <c r="B5" s="7" t="inlineStr">
        <is>
          <t>KRW / seat</t>
        </is>
      </c>
      <c r="C5" s="7" t="inlineStr">
        <is>
          <t>EUR / seat</t>
        </is>
      </c>
      <c r="D5" s="7" t="inlineStr">
        <is>
          <t>USD / seat</t>
        </is>
      </c>
      <c r="E5" s="7" t="inlineStr">
        <is>
          <t>최대 seat</t>
        </is>
      </c>
      <c r="F5" s="7" t="inlineStr">
        <is>
          <t>적용 단가 (원/seat)</t>
        </is>
      </c>
      <c r="G5" s="7" t="inlineStr">
        <is>
          <t>비고</t>
        </is>
      </c>
    </row>
    <row r="6">
      <c r="A6" s="8" t="inlineStr">
        <is>
          <t>Starter</t>
        </is>
      </c>
      <c r="B6" s="20" t="n">
        <v>139000</v>
      </c>
      <c r="C6" s="21" t="n">
        <v>79</v>
      </c>
      <c r="D6" s="21" t="n">
        <v>89</v>
      </c>
      <c r="E6" s="22" t="n">
        <v>3</v>
      </c>
      <c r="F6" s="20">
        <f>IF(입력값!$B$12="EUR",C6*입력값!$B$13,IF(입력값!$B$12="USD",D6*입력값!$B$14,B6))</f>
        <v/>
      </c>
      <c r="G6" s="6" t="inlineStr">
        <is>
          <t>코드 기준 가격. 최대 고객사 50개, seat 3개</t>
        </is>
      </c>
    </row>
    <row r="7">
      <c r="A7" s="8" t="inlineStr">
        <is>
          <t>Growth</t>
        </is>
      </c>
      <c r="B7" s="20" t="n">
        <v>209000</v>
      </c>
      <c r="C7" s="21" t="n">
        <v>119</v>
      </c>
      <c r="D7" s="21" t="n">
        <v>139</v>
      </c>
      <c r="E7" s="22" t="n">
        <v>7</v>
      </c>
      <c r="F7" s="20">
        <f>IF(입력값!$B$12="EUR",C7*입력값!$B$13,IF(입력값!$B$12="USD",D7*입력값!$B$14,B7))</f>
        <v/>
      </c>
      <c r="G7" s="6" t="inlineStr">
        <is>
          <t>코드 기준 가격. 고객사 무제한, seat 7개</t>
        </is>
      </c>
    </row>
    <row r="8">
      <c r="A8" s="8" t="inlineStr">
        <is>
          <t>Elite</t>
        </is>
      </c>
      <c r="B8" s="20" t="n">
        <v>279000</v>
      </c>
      <c r="C8" s="21" t="n">
        <v>159</v>
      </c>
      <c r="D8" s="21" t="n">
        <v>189</v>
      </c>
      <c r="E8" s="22" t="n">
        <v>24</v>
      </c>
      <c r="F8" s="20">
        <f>IF(입력값!$B$12="EUR",C8*입력값!$B$13,IF(입력값!$B$12="USD",D8*입력값!$B$14,B8))</f>
        <v/>
      </c>
      <c r="G8" s="6" t="inlineStr">
        <is>
          <t>코드 기준 가격. 고객사 무제한, seat 24개</t>
        </is>
      </c>
    </row>
    <row r="9">
      <c r="A9" s="8" t="inlineStr">
        <is>
          <t>Enterprise</t>
        </is>
      </c>
      <c r="B9" s="23" t="n">
        <v>279000</v>
      </c>
      <c r="C9" s="24" t="n">
        <v>159</v>
      </c>
      <c r="D9" s="24" t="n">
        <v>189</v>
      </c>
      <c r="E9" s="22" t="inlineStr">
        <is>
          <t>무제한</t>
        </is>
      </c>
      <c r="F9" s="20">
        <f>IF(입력값!$B$12="EUR",C9*입력값!$B$13,IF(입력값!$B$12="USD",D9*입력값!$B$14,B9))</f>
        <v/>
      </c>
      <c r="G9" s="6" t="inlineStr">
        <is>
          <t>코드에 가격 없음(별도 협의). Elite 가격을 임시 가정 — 실제 계약 단가로 수정</t>
        </is>
      </c>
    </row>
    <row r="11">
      <c r="A11" s="18" t="inlineStr">
        <is>
          <t>2. 매출 조건</t>
        </is>
      </c>
      <c r="B11" s="19" t="n"/>
      <c r="C11" s="19" t="n"/>
      <c r="D11" s="19" t="n"/>
      <c r="E11" s="19" t="n"/>
      <c r="F11" s="19" t="n"/>
      <c r="G11" s="19" t="n"/>
    </row>
    <row r="12">
      <c r="A12" s="25" t="inlineStr">
        <is>
          <t>청구 통화</t>
        </is>
      </c>
      <c r="B12" s="26" t="inlineStr">
        <is>
          <t>KRW</t>
        </is>
      </c>
      <c r="G12" s="6" t="inlineStr">
        <is>
          <t>KRW / EUR / USD 중 선택. 해외 고객이 EUR·USD로 결제하면 환율로 원화 환산</t>
        </is>
      </c>
    </row>
    <row r="13">
      <c r="A13" s="25" t="inlineStr">
        <is>
          <t>환율: 1 EUR = ? 원</t>
        </is>
      </c>
      <c r="B13" s="23" t="n">
        <v>1600</v>
      </c>
      <c r="G13" s="6" t="inlineStr">
        <is>
          <t>가정값 — 최신 환율로 수정</t>
        </is>
      </c>
    </row>
    <row r="14">
      <c r="A14" s="25" t="inlineStr">
        <is>
          <t>환율: 1 USD = ? 원</t>
        </is>
      </c>
      <c r="B14" s="23" t="n">
        <v>1400</v>
      </c>
      <c r="G14" s="6" t="inlineStr">
        <is>
          <t>가정값 — 최신 환율로 수정</t>
        </is>
      </c>
    </row>
    <row r="15">
      <c r="A15" s="25" t="inlineStr">
        <is>
          <t>요금에 부가세 포함 여부</t>
        </is>
      </c>
      <c r="B15" s="26" t="inlineStr">
        <is>
          <t>별도</t>
        </is>
      </c>
      <c r="G15" s="6" t="inlineStr">
        <is>
          <t>‘별도’: 표시 가격 전액이 매출(B2B 관행). ‘포함’: 가격 ÷ (1+부가세율)만 매출</t>
        </is>
      </c>
    </row>
    <row r="16">
      <c r="A16" s="25" t="inlineStr">
        <is>
          <t>부가세율</t>
        </is>
      </c>
      <c r="B16" s="27" t="n">
        <v>0.1</v>
      </c>
      <c r="G16" s="6" t="inlineStr">
        <is>
          <t>대한민국 부가가치세 10%</t>
        </is>
      </c>
    </row>
    <row r="17">
      <c r="A17" s="25" t="inlineStr">
        <is>
          <t>결제 수수료율 (Stripe 등)</t>
        </is>
      </c>
      <c r="B17" s="27" t="n">
        <v>0.035</v>
      </c>
      <c r="G17" s="6" t="inlineStr">
        <is>
          <t>가정값 — 해외카드·환전 수수료 포함 추정. 실제 정산 내역으로 수정</t>
        </is>
      </c>
    </row>
    <row r="18">
      <c r="A18" s="25" t="inlineStr">
        <is>
          <t>매출 인식 비율 (부가세 반영)</t>
        </is>
      </c>
      <c r="B18" s="28">
        <f>IF(입력값!$B$15="포함",1/(1+입력값!$B$16),1)</f>
        <v/>
      </c>
      <c r="G18" s="6" t="inlineStr">
        <is>
          <t>계산값: 표시 가격 중 회사 매출로 잡히는 비율</t>
        </is>
      </c>
    </row>
    <row r="20">
      <c r="A20" s="18" t="inlineStr">
        <is>
          <t>3. 변동비 — seat당 월 비용 (플랜이 높을수록 AI 사용량 증가)</t>
        </is>
      </c>
      <c r="B20" s="19" t="n"/>
      <c r="C20" s="19" t="n"/>
      <c r="D20" s="19" t="n"/>
      <c r="E20" s="19" t="n"/>
      <c r="F20" s="19" t="n"/>
      <c r="G20" s="19" t="n"/>
    </row>
    <row r="21">
      <c r="A21" s="7" t="inlineStr">
        <is>
          <t>항목</t>
        </is>
      </c>
      <c r="B21" s="7" t="inlineStr">
        <is>
          <t>Starter</t>
        </is>
      </c>
      <c r="C21" s="7" t="inlineStr">
        <is>
          <t>Growth</t>
        </is>
      </c>
      <c r="D21" s="7" t="inlineStr">
        <is>
          <t>Elite</t>
        </is>
      </c>
      <c r="E21" s="7" t="inlineStr">
        <is>
          <t>Enterprise</t>
        </is>
      </c>
      <c r="F21" s="7" t="inlineStr"/>
      <c r="G21" s="7" t="inlineStr">
        <is>
          <t>비고</t>
        </is>
      </c>
    </row>
    <row r="22">
      <c r="A22" s="25" t="inlineStr">
        <is>
          <t>AI 비용 (Mistral 등, seat당 월)</t>
        </is>
      </c>
      <c r="B22" s="23" t="n">
        <v>3000</v>
      </c>
      <c r="C22" s="23" t="n">
        <v>6000</v>
      </c>
      <c r="D22" s="23" t="n">
        <v>15000</v>
      </c>
      <c r="E22" s="23" t="n">
        <v>20000</v>
      </c>
      <c r="G22" s="6" t="inlineStr">
        <is>
          <t>가정값 — Elite부터 AI 이메일 스튜디오·자동 플레이북으로 AI 호출이 크게 늘어남. 실제 청구서로 수정</t>
        </is>
      </c>
    </row>
    <row r="23">
      <c r="A23" s="25" t="inlineStr">
        <is>
          <t>기타 변동비 (DB·이메일·스토리지, seat당 월)</t>
        </is>
      </c>
      <c r="B23" s="23" t="n">
        <v>2000</v>
      </c>
      <c r="C23" s="23" t="n">
        <v>2000</v>
      </c>
      <c r="D23" s="23" t="n">
        <v>2000</v>
      </c>
      <c r="E23" s="23" t="n">
        <v>2000</v>
      </c>
      <c r="G23" s="6" t="inlineStr">
        <is>
          <t>가정값 — Supabase·Resend·스토리지 사용량을 seat 수로 나눈 추정</t>
        </is>
      </c>
    </row>
    <row r="24">
      <c r="A24" s="8" t="inlineStr">
        <is>
          <t>→ seat당 월 변동비 합계</t>
        </is>
      </c>
      <c r="B24" s="11">
        <f>B22+B23</f>
        <v/>
      </c>
      <c r="C24" s="11">
        <f>C22+C23</f>
        <v/>
      </c>
      <c r="D24" s="11">
        <f>D22+D23</f>
        <v/>
      </c>
      <c r="E24" s="11">
        <f>E22+E23</f>
        <v/>
      </c>
    </row>
    <row r="26">
      <c r="A26" s="18" t="inlineStr">
        <is>
          <t>4. 월 고정비 (인건비 제외)</t>
        </is>
      </c>
      <c r="B26" s="19" t="n"/>
      <c r="C26" s="19" t="n"/>
      <c r="D26" s="19" t="n"/>
      <c r="E26" s="19" t="n"/>
      <c r="F26" s="19" t="n"/>
      <c r="G26" s="19" t="n"/>
    </row>
    <row r="27">
      <c r="A27" s="25" t="inlineStr">
        <is>
          <t>월세 (관리비 포함)</t>
        </is>
      </c>
      <c r="B27" s="23" t="n">
        <v>1500000</v>
      </c>
      <c r="G27" s="6" t="inlineStr">
        <is>
          <t>가정값 — 실제 계약서 금액으로 수정</t>
        </is>
      </c>
    </row>
    <row r="28">
      <c r="A28" s="25" t="inlineStr">
        <is>
          <t>인프라·SaaS 도구 고정비</t>
        </is>
      </c>
      <c r="B28" s="23" t="n">
        <v>500000</v>
      </c>
      <c r="G28" s="6" t="inlineStr">
        <is>
          <t>가정값 — Cloudflare, Supabase 기본 요금, 도메인, 협업툴 등</t>
        </is>
      </c>
    </row>
    <row r="29">
      <c r="A29" s="25" t="inlineStr">
        <is>
          <t>마케팅·영업비</t>
        </is>
      </c>
      <c r="B29" s="23" t="n">
        <v>2000000</v>
      </c>
      <c r="G29" s="6" t="inlineStr">
        <is>
          <t>가정값</t>
        </is>
      </c>
    </row>
    <row r="30">
      <c r="A30" s="25" t="inlineStr">
        <is>
          <t>기타 (세무기장·보험·통신 등)</t>
        </is>
      </c>
      <c r="B30" s="23" t="n">
        <v>700000</v>
      </c>
      <c r="G30" s="6" t="inlineStr">
        <is>
          <t>가정값</t>
        </is>
      </c>
    </row>
    <row r="31">
      <c r="A31" s="8" t="inlineStr">
        <is>
          <t>인건비 제외 고정비 합계 (월)</t>
        </is>
      </c>
      <c r="B31" s="11">
        <f>SUM(B27:B30)</f>
        <v/>
      </c>
    </row>
    <row r="33">
      <c r="A33" s="18" t="inlineStr">
        <is>
          <t>4-1. 초기 비용 (1회)</t>
        </is>
      </c>
      <c r="B33" s="19" t="n"/>
      <c r="C33" s="19" t="n"/>
      <c r="D33" s="19" t="n"/>
      <c r="E33" s="19" t="n"/>
      <c r="F33" s="19" t="n"/>
      <c r="G33" s="19" t="n"/>
    </row>
    <row r="34">
      <c r="A34" s="25" t="inlineStr">
        <is>
          <t>사무실 보증금</t>
        </is>
      </c>
      <c r="B34" s="23" t="n">
        <v>15000000</v>
      </c>
      <c r="G34" s="6" t="inlineStr">
        <is>
          <t>1개월차에 현금에서만 빠짐. 돌려받는 돈이라 비용(손익)이 아님. 60개월 안에 반환되지 않는다고 가정</t>
        </is>
      </c>
    </row>
    <row r="35">
      <c r="A35" s="25" t="inlineStr">
        <is>
          <t>기타 초기 비용 (집기·PC·법인 설립 등)</t>
        </is>
      </c>
      <c r="B35" s="23" t="n">
        <v>0</v>
      </c>
      <c r="G35" s="6" t="inlineStr">
        <is>
          <t>1개월차 비용으로 한 번에 처리(감가상각 생략). 없으면 0</t>
        </is>
      </c>
    </row>
    <row r="37">
      <c r="A37" s="18" t="inlineStr">
        <is>
          <t>5. 인건비 — 직원 3명</t>
        </is>
      </c>
      <c r="B37" s="19" t="n"/>
      <c r="C37" s="19" t="n"/>
      <c r="D37" s="19" t="n"/>
      <c r="E37" s="19" t="n"/>
      <c r="F37" s="19" t="n"/>
      <c r="G37" s="19" t="n"/>
    </row>
    <row r="38">
      <c r="A38" s="7" t="inlineStr">
        <is>
          <t>직원</t>
        </is>
      </c>
      <c r="B38" s="7" t="inlineStr">
        <is>
          <t>연봉 (원)</t>
        </is>
      </c>
      <c r="C38" s="7" t="inlineStr"/>
      <c r="D38" s="7" t="inlineStr"/>
      <c r="E38" s="7" t="inlineStr"/>
      <c r="F38" s="7" t="inlineStr"/>
      <c r="G38" s="7" t="inlineStr">
        <is>
          <t>비고</t>
        </is>
      </c>
    </row>
    <row r="39">
      <c r="A39" s="25" t="inlineStr">
        <is>
          <t>직원 1</t>
        </is>
      </c>
      <c r="B39" s="23" t="n">
        <v>50000000</v>
      </c>
      <c r="G39" s="6" t="inlineStr">
        <is>
          <t>가정값 — 세전 연봉(비과세 포함 총액)</t>
        </is>
      </c>
    </row>
    <row r="40">
      <c r="A40" s="25" t="inlineStr">
        <is>
          <t>직원 2</t>
        </is>
      </c>
      <c r="B40" s="23" t="n">
        <v>50000000</v>
      </c>
      <c r="G40" s="6" t="inlineStr">
        <is>
          <t>가정값 — 세전 연봉(비과세 포함 총액)</t>
        </is>
      </c>
    </row>
    <row r="41">
      <c r="A41" s="25" t="inlineStr">
        <is>
          <t>직원 3</t>
        </is>
      </c>
      <c r="B41" s="23" t="n">
        <v>50000000</v>
      </c>
      <c r="G41" s="6" t="inlineStr">
        <is>
          <t>가정값 — 세전 연봉(비과세 포함 총액)</t>
        </is>
      </c>
    </row>
    <row r="42">
      <c r="A42" s="8" t="inlineStr">
        <is>
          <t>연봉 합계</t>
        </is>
      </c>
      <c r="B42" s="11">
        <f>SUM(B39:B41)</f>
        <v/>
      </c>
    </row>
    <row r="43">
      <c r="A43" s="25" t="inlineStr">
        <is>
          <t>국민연금 (사업주 부담)</t>
        </is>
      </c>
      <c r="B43" s="29" t="n">
        <v>0.0475</v>
      </c>
      <c r="G43" s="6" t="inlineStr">
        <is>
          <t>2026년 요율 9.5%의 절반 — 확인 필요</t>
        </is>
      </c>
    </row>
    <row r="44">
      <c r="A44" s="25" t="inlineStr">
        <is>
          <t>건강보험 (사업주 부담)</t>
        </is>
      </c>
      <c r="B44" s="29" t="n">
        <v>0.03595</v>
      </c>
      <c r="G44" s="6" t="inlineStr">
        <is>
          <t>2026년 요율 7.19%의 절반 — 확인 필요</t>
        </is>
      </c>
    </row>
    <row r="45">
      <c r="A45" s="25" t="inlineStr">
        <is>
          <t>장기요양보험 (건강보험료 대비)</t>
        </is>
      </c>
      <c r="B45" s="29" t="n">
        <v>0.1314</v>
      </c>
      <c r="G45" s="6" t="inlineStr">
        <is>
          <t>건강보험료 × 이 비율. 2026년 추정 — 확인 필요</t>
        </is>
      </c>
    </row>
    <row r="46">
      <c r="A46" s="25" t="inlineStr">
        <is>
          <t>고용보험 (사업주 부담)</t>
        </is>
      </c>
      <c r="B46" s="29" t="n">
        <v>0.0115</v>
      </c>
      <c r="G46" s="6" t="inlineStr">
        <is>
          <t>실업급여 0.9% + 고용안정·직업능력 0.25% (150인 미만)</t>
        </is>
      </c>
    </row>
    <row r="47">
      <c r="A47" s="25" t="inlineStr">
        <is>
          <t>산재보험</t>
        </is>
      </c>
      <c r="B47" s="29" t="n">
        <v>0.007</v>
      </c>
      <c r="G47" s="6" t="inlineStr">
        <is>
          <t>업종별 상이 — 소프트웨어 개발업 추정치</t>
        </is>
      </c>
    </row>
    <row r="48">
      <c r="A48" s="25" t="inlineStr">
        <is>
          <t>퇴직금 적립</t>
        </is>
      </c>
      <c r="B48" s="29" t="n">
        <v>0.08333333333333333</v>
      </c>
      <c r="G48" s="6" t="inlineStr">
        <is>
          <t>연봉의 1/12</t>
        </is>
      </c>
    </row>
    <row r="49">
      <c r="A49" s="25" t="inlineStr">
        <is>
          <t>연간 급여 인상률</t>
        </is>
      </c>
      <c r="B49" s="27" t="n">
        <v>0.03</v>
      </c>
      <c r="G49" s="6" t="inlineStr">
        <is>
          <t>가정값 — 매 12개월마다 적용 (추가 CS·전담 CSM 포함)</t>
        </is>
      </c>
    </row>
    <row r="50">
      <c r="A50" s="8" t="inlineStr">
        <is>
          <t>사업주 부담률 합계</t>
        </is>
      </c>
      <c r="B50" s="30">
        <f>입력값!$B$43+입력값!$B$44*(1+입력값!$B$45)+입력값!$B$46+입력값!$B$47+입력값!$B$48</f>
        <v/>
      </c>
    </row>
    <row r="51">
      <c r="A51" s="8" t="inlineStr">
        <is>
          <t>월 인건비 (1년차, 사업주 부담 포함)</t>
        </is>
      </c>
      <c r="B51" s="11">
        <f>입력값!$B$42*(1+입력값!$B$50)/12</f>
        <v/>
      </c>
      <c r="G51" s="6" t="inlineStr">
        <is>
          <t>3명 연봉 합계 × (1 + 사업주 부담률) ÷ 12</t>
        </is>
      </c>
    </row>
    <row r="53">
      <c r="A53" s="18" t="inlineStr">
        <is>
          <t>6. 대한민국 세금 — 법인 기준 (법인세 + 지방소득세)</t>
        </is>
      </c>
      <c r="B53" s="19" t="n"/>
      <c r="C53" s="19" t="n"/>
      <c r="D53" s="19" t="n"/>
      <c r="E53" s="19" t="n"/>
      <c r="F53" s="19" t="n"/>
      <c r="G53" s="19" t="n"/>
    </row>
    <row r="54">
      <c r="A54" s="7" t="inlineStr">
        <is>
          <t>과세표준 구간 상한 (원)</t>
        </is>
      </c>
      <c r="B54" s="7" t="inlineStr">
        <is>
          <t>세율</t>
        </is>
      </c>
      <c r="C54" s="7" t="inlineStr"/>
      <c r="D54" s="7" t="inlineStr"/>
      <c r="E54" s="7" t="inlineStr"/>
      <c r="F54" s="7" t="inlineStr"/>
      <c r="G54" s="7" t="inlineStr">
        <is>
          <t>비고</t>
        </is>
      </c>
    </row>
    <row r="55">
      <c r="A55" s="23" t="n">
        <v>200000000</v>
      </c>
      <c r="B55" s="27" t="n">
        <v>0.1</v>
      </c>
      <c r="G55" s="6" t="inlineStr">
        <is>
          <t>2026 사업연도 누진세율(2억 이하 10%) — 세법 개정 여부를 세무사와 확인</t>
        </is>
      </c>
    </row>
    <row r="56">
      <c r="A56" s="23" t="n">
        <v>20000000000</v>
      </c>
      <c r="B56" s="27" t="n">
        <v>0.2</v>
      </c>
    </row>
    <row r="57">
      <c r="A57" s="23" t="n">
        <v>300000000000</v>
      </c>
      <c r="B57" s="27" t="n">
        <v>0.22</v>
      </c>
    </row>
    <row r="58">
      <c r="A58" s="25" t="inlineStr">
        <is>
          <t>초과분</t>
        </is>
      </c>
      <c r="B58" s="27" t="n">
        <v>0.25</v>
      </c>
    </row>
    <row r="59">
      <c r="A59" s="25" t="inlineStr">
        <is>
          <t>지방소득세 (법인세의 %)</t>
        </is>
      </c>
      <c r="B59" s="27" t="n">
        <v>0.1</v>
      </c>
      <c r="G59" s="6" t="inlineStr">
        <is>
          <t>법인세액의 10%</t>
        </is>
      </c>
    </row>
    <row r="60">
      <c r="A60" s="25" t="inlineStr">
        <is>
          <t>창업중소기업 세액감면율</t>
        </is>
      </c>
      <c r="B60" s="27" t="n">
        <v>0</v>
      </c>
      <c r="G60" s="6" t="inlineStr">
        <is>
          <t>청년창업·수도권 외 지역 등 요건 충족 시 50~100%. 해당 없으면 0%</t>
        </is>
      </c>
    </row>
    <row r="61">
      <c r="A61" s="25" t="inlineStr">
        <is>
          <t>이월결손금 공제 한도 (소득 대비)</t>
        </is>
      </c>
      <c r="B61" s="27" t="n">
        <v>1</v>
      </c>
      <c r="G61" s="6" t="inlineStr">
        <is>
          <t>중소기업 100%, 일반법인 80%</t>
        </is>
      </c>
    </row>
    <row r="63">
      <c r="A63" s="18" t="inlineStr">
        <is>
          <t>7. 투자자 지분</t>
        </is>
      </c>
      <c r="B63" s="19" t="n"/>
      <c r="C63" s="19" t="n"/>
      <c r="D63" s="19" t="n"/>
      <c r="E63" s="19" t="n"/>
      <c r="F63" s="19" t="n"/>
      <c r="G63" s="19" t="n"/>
    </row>
    <row r="64">
      <c r="A64" s="25" t="inlineStr">
        <is>
          <t>투자자 지분율</t>
        </is>
      </c>
      <c r="B64" s="27" t="n">
        <v>0.06</v>
      </c>
      <c r="G64" s="6" t="inlineStr">
        <is>
          <t>사용자 제공값. 세후이익이 양(+)일 때만 세후이익 × 지분율을 투자자 몫으로 차감</t>
        </is>
      </c>
    </row>
    <row r="66">
      <c r="A66" s="18" t="inlineStr">
        <is>
          <t>8. 성장 가정 — 셀프서브 플랜(Starter·Growth·Elite), ‘월별전망’에서 사용</t>
        </is>
      </c>
      <c r="B66" s="19" t="n"/>
      <c r="C66" s="19" t="n"/>
      <c r="D66" s="19" t="n"/>
      <c r="E66" s="19" t="n"/>
      <c r="F66" s="19" t="n"/>
      <c r="G66" s="19" t="n"/>
    </row>
    <row r="67">
      <c r="A67" s="25" t="inlineStr">
        <is>
          <t>시작 월</t>
        </is>
      </c>
      <c r="B67" s="31" t="n">
        <v>46296</v>
      </c>
      <c r="G67" s="6" t="inlineStr">
        <is>
          <t>첫 달(1개월차)</t>
        </is>
      </c>
    </row>
    <row r="68">
      <c r="A68" s="25" t="inlineStr">
        <is>
          <t>시작 시점 유료 고객사 수 (셀프서브)</t>
        </is>
      </c>
      <c r="B68" s="24" t="n">
        <v>3</v>
      </c>
      <c r="G68" s="6" t="inlineStr">
        <is>
          <t>가정값</t>
        </is>
      </c>
    </row>
    <row r="69">
      <c r="A69" s="25" t="inlineStr">
        <is>
          <t>월 신규 고객사 수 (1개월차)</t>
        </is>
      </c>
      <c r="B69" s="32" t="n">
        <v>2</v>
      </c>
      <c r="G69" s="6" t="inlineStr">
        <is>
          <t>가정값</t>
        </is>
      </c>
    </row>
    <row r="70">
      <c r="A70" s="25" t="inlineStr">
        <is>
          <t>신규 고객사 수 월 증가율</t>
        </is>
      </c>
      <c r="B70" s="27" t="n">
        <v>0.03</v>
      </c>
      <c r="G70" s="6" t="inlineStr">
        <is>
          <t>가정값 — 영업·마케팅 성장 속도</t>
        </is>
      </c>
    </row>
    <row r="71">
      <c r="A71" s="25" t="inlineStr">
        <is>
          <t>월 이탈률 (고객사 기준)</t>
        </is>
      </c>
      <c r="B71" s="27" t="n">
        <v>0.02</v>
      </c>
      <c r="G71" s="6" t="inlineStr">
        <is>
          <t>가정값 — B2B SaaS 초기 1~3%/월</t>
        </is>
      </c>
    </row>
    <row r="72">
      <c r="A72" s="25" t="inlineStr">
        <is>
          <t>시작 현금 (투자금 포함)</t>
        </is>
      </c>
      <c r="B72" s="23" t="n">
        <v>200000000</v>
      </c>
      <c r="G72" s="6" t="inlineStr">
        <is>
          <t>가정값 — 자금 소진 시점 계산용</t>
        </is>
      </c>
    </row>
    <row r="74">
      <c r="A74" s="7" t="inlineStr">
        <is>
          <t>플랜</t>
        </is>
      </c>
      <c r="B74" s="7" t="inlineStr">
        <is>
          <t>고객사 비중</t>
        </is>
      </c>
      <c r="C74" s="7" t="inlineStr">
        <is>
          <t>고객사당 평균 seat</t>
        </is>
      </c>
      <c r="D74" s="7" t="inlineStr"/>
      <c r="E74" s="7" t="inlineStr"/>
      <c r="F74" s="7" t="inlineStr"/>
      <c r="G74" s="7" t="inlineStr">
        <is>
          <t>비고</t>
        </is>
      </c>
    </row>
    <row r="75">
      <c r="A75" s="8" t="inlineStr">
        <is>
          <t>Starter</t>
        </is>
      </c>
      <c r="B75" s="27" t="n">
        <v>0.5</v>
      </c>
      <c r="C75" s="33" t="n">
        <v>2.5</v>
      </c>
      <c r="G75" s="34">
        <f>IF(AND(ISNUMBER(입력값!$E$6),C75&gt;입력값!$E$6),"⚠ 플랜 최대 seat 초과","")</f>
        <v/>
      </c>
    </row>
    <row r="76">
      <c r="A76" s="8" t="inlineStr">
        <is>
          <t>Growth</t>
        </is>
      </c>
      <c r="B76" s="27" t="n">
        <v>0.35</v>
      </c>
      <c r="C76" s="33" t="n">
        <v>5</v>
      </c>
      <c r="G76" s="34">
        <f>IF(AND(ISNUMBER(입력값!$E$7),C76&gt;입력값!$E$7),"⚠ 플랜 최대 seat 초과","")</f>
        <v/>
      </c>
    </row>
    <row r="77">
      <c r="A77" s="8" t="inlineStr">
        <is>
          <t>Elite</t>
        </is>
      </c>
      <c r="B77" s="27" t="n">
        <v>0.15</v>
      </c>
      <c r="C77" s="33" t="n">
        <v>12</v>
      </c>
      <c r="G77" s="34">
        <f>IF(AND(ISNUMBER(입력값!$E$8),C77&gt;입력값!$E$8),"⚠ 플랜 최대 seat 초과","")</f>
        <v/>
      </c>
    </row>
    <row r="78">
      <c r="A78" s="8" t="inlineStr">
        <is>
          <t>합계 (100%여야 함)</t>
        </is>
      </c>
      <c r="B78" s="35">
        <f>SUM(B75:B77)</f>
        <v/>
      </c>
      <c r="C78" s="36">
        <f>SUMPRODUCT(B75:B77,C75:C77)</f>
        <v/>
      </c>
      <c r="G78" s="34">
        <f>IF(ABS(B78-1)&gt;0.0001,"⚠ 비중 합계가 100%가 아닙니다","고객사당 평균 seat (가중평균) → C열")</f>
        <v/>
      </c>
    </row>
    <row r="80">
      <c r="A80" s="18" t="inlineStr">
        <is>
          <t>9. 고객 대응(CS) 시간 — 셀프서브 플랜</t>
        </is>
      </c>
      <c r="B80" s="19" t="n"/>
      <c r="C80" s="19" t="n"/>
      <c r="D80" s="19" t="n"/>
      <c r="E80" s="19" t="n"/>
      <c r="F80" s="19" t="n"/>
      <c r="G80" s="19" t="n"/>
    </row>
    <row r="81">
      <c r="A81" s="6" t="inlineStr">
        <is>
          <t>높은 플랜일수록 문의·통화·미팅이 늘어납니다. Enterprise는 전담 CSM이 맡으므로 여기서 제외(10번 참고).</t>
        </is>
      </c>
    </row>
    <row r="82">
      <c r="A82" s="7" t="inlineStr">
        <is>
          <t>항목</t>
        </is>
      </c>
      <c r="B82" s="7" t="inlineStr">
        <is>
          <t>Starter</t>
        </is>
      </c>
      <c r="C82" s="7" t="inlineStr">
        <is>
          <t>Growth</t>
        </is>
      </c>
      <c r="D82" s="7" t="inlineStr">
        <is>
          <t>Elite</t>
        </is>
      </c>
      <c r="E82" s="7" t="inlineStr"/>
      <c r="F82" s="7" t="inlineStr"/>
      <c r="G82" s="7" t="inlineStr">
        <is>
          <t>비고</t>
        </is>
      </c>
    </row>
    <row r="83">
      <c r="A83" s="25" t="inlineStr">
        <is>
          <t>이메일 문의 (건 / seat / 월)</t>
        </is>
      </c>
      <c r="B83" s="33" t="n">
        <v>0.5</v>
      </c>
      <c r="C83" s="33" t="n">
        <v>0.7</v>
      </c>
      <c r="D83" s="33" t="n">
        <v>1</v>
      </c>
      <c r="G83" s="6" t="inlineStr">
        <is>
          <t>가정값 — 사용자(seat) 수에 비례</t>
        </is>
      </c>
    </row>
    <row r="84">
      <c r="A84" s="25" t="inlineStr">
        <is>
          <t>이메일 1건 처리 시간 (분)</t>
        </is>
      </c>
      <c r="B84" s="24" t="n">
        <v>15</v>
      </c>
      <c r="C84" s="24" t="n">
        <v>15</v>
      </c>
      <c r="D84" s="24" t="n">
        <v>15</v>
      </c>
      <c r="G84" s="6" t="inlineStr">
        <is>
          <t>가정값 — 조사·답변 작성 포함. 약속된 응답 시간: 24시간 이내(랜딩 문구)</t>
        </is>
      </c>
    </row>
    <row r="85">
      <c r="A85" s="25" t="inlineStr">
        <is>
          <t>전화 상담 (건 / 고객사 / 월)</t>
        </is>
      </c>
      <c r="B85" s="33" t="n">
        <v>0.5</v>
      </c>
      <c r="C85" s="33" t="n">
        <v>1</v>
      </c>
      <c r="D85" s="33" t="n">
        <v>2</v>
      </c>
      <c r="G85" s="6" t="inlineStr">
        <is>
          <t>가정값 — 고객사(관리자) 단위</t>
        </is>
      </c>
    </row>
    <row r="86">
      <c r="A86" s="25" t="inlineStr">
        <is>
          <t>전화 1건 시간 (분)</t>
        </is>
      </c>
      <c r="B86" s="24" t="n">
        <v>20</v>
      </c>
      <c r="C86" s="24" t="n">
        <v>30</v>
      </c>
      <c r="D86" s="24" t="n">
        <v>30</v>
      </c>
      <c r="G86" s="6" t="inlineStr">
        <is>
          <t>가정값</t>
        </is>
      </c>
    </row>
    <row r="87">
      <c r="A87" s="25" t="inlineStr">
        <is>
          <t>정기 미팅·코칭 (시간 / 고객사 / 월)</t>
        </is>
      </c>
      <c r="B87" s="33" t="n">
        <v>0</v>
      </c>
      <c r="C87" s="33" t="n">
        <v>0.5</v>
      </c>
      <c r="D87" s="33" t="n">
        <v>1.5</v>
      </c>
      <c r="G87" s="6" t="inlineStr">
        <is>
          <t>가정값 — Growth 분기 점검, Elite 월간 코칭 세션(영문 FAQ 문구)·QBR</t>
        </is>
      </c>
    </row>
    <row r="88">
      <c r="A88" s="25" t="inlineStr">
        <is>
          <t>온보딩 (시간 / 신규 고객사, 1회)</t>
        </is>
      </c>
      <c r="B88" s="33" t="n">
        <v>2</v>
      </c>
      <c r="C88" s="33" t="n">
        <v>4</v>
      </c>
      <c r="D88" s="33" t="n">
        <v>10</v>
      </c>
      <c r="G88" s="6" t="inlineStr">
        <is>
          <t>가정값 — 신규 계약 달에만 발생</t>
        </is>
      </c>
    </row>
    <row r="89">
      <c r="A89" s="8" t="inlineStr">
        <is>
          <t>→ seat당 월 대응 시간</t>
        </is>
      </c>
      <c r="B89" s="37">
        <f>B83*B84/60</f>
        <v/>
      </c>
      <c r="C89" s="37">
        <f>C83*C84/60</f>
        <v/>
      </c>
      <c r="D89" s="37">
        <f>D83*D84/60</f>
        <v/>
      </c>
      <c r="G89" s="6" t="inlineStr">
        <is>
          <t>이메일 건수 × 처리 시간</t>
        </is>
      </c>
    </row>
    <row r="90">
      <c r="A90" s="8" t="inlineStr">
        <is>
          <t>→ 고객사당 월 대응 시간 (seat 제외)</t>
        </is>
      </c>
      <c r="B90" s="37">
        <f>B85*B86/60+B87</f>
        <v/>
      </c>
      <c r="C90" s="37">
        <f>C85*C86/60+C87</f>
        <v/>
      </c>
      <c r="D90" s="37">
        <f>D85*D86/60+D87</f>
        <v/>
      </c>
      <c r="G90" s="6" t="inlineStr">
        <is>
          <t>전화 + 정기 미팅</t>
        </is>
      </c>
    </row>
    <row r="92">
      <c r="A92" s="25" t="inlineStr">
        <is>
          <t>직원 1의 CS 투입 비율</t>
        </is>
      </c>
      <c r="B92" s="27" t="n">
        <v>0.5</v>
      </c>
      <c r="G92" s="6" t="inlineStr">
        <is>
          <t>가정값 — 기존 3명이 고객 대응에 쓰는 근무 시간 비율</t>
        </is>
      </c>
    </row>
    <row r="93">
      <c r="A93" s="25" t="inlineStr">
        <is>
          <t>직원 2의 CS 투입 비율</t>
        </is>
      </c>
      <c r="B93" s="27" t="n">
        <v>0.2</v>
      </c>
      <c r="G93" s="6" t="inlineStr"/>
    </row>
    <row r="94">
      <c r="A94" s="25" t="inlineStr">
        <is>
          <t>직원 3의 CS 투입 비율</t>
        </is>
      </c>
      <c r="B94" s="27" t="n">
        <v>0</v>
      </c>
      <c r="G94" s="6" t="inlineStr"/>
    </row>
    <row r="95">
      <c r="A95" s="25" t="inlineStr">
        <is>
          <t>1인 월 실근무 시간</t>
        </is>
      </c>
      <c r="B95" s="38" t="n">
        <v>160</v>
      </c>
      <c r="G95" s="6" t="inlineStr">
        <is>
          <t>주 40시간 × 4.35주 − 휴가 ≈ 160시간</t>
        </is>
      </c>
    </row>
    <row r="96">
      <c r="A96" s="8" t="inlineStr">
        <is>
          <t>→ 기존 인력 CS 가능 시간 (월)</t>
        </is>
      </c>
      <c r="B96" s="37">
        <f>입력값!$B$95*SUM(B92:B94)</f>
        <v/>
      </c>
      <c r="G96" s="6" t="inlineStr">
        <is>
          <t>1인 월 실근무 시간 × 투입 비율 합</t>
        </is>
      </c>
    </row>
    <row r="97">
      <c r="A97" s="25" t="inlineStr">
        <is>
          <t>추가 CS 직원 연봉</t>
        </is>
      </c>
      <c r="B97" s="23" t="n">
        <v>36000000</v>
      </c>
      <c r="G97" s="6" t="inlineStr">
        <is>
          <t>가정값 — 대응 시간이 부족해지면 채용</t>
        </is>
      </c>
    </row>
    <row r="98">
      <c r="A98" s="25" t="inlineStr">
        <is>
          <t>추가 CS 직원 1인 월 대응 가능 시간</t>
        </is>
      </c>
      <c r="B98" s="38" t="n">
        <v>150</v>
      </c>
      <c r="G98" s="6" t="inlineStr">
        <is>
          <t>가정값 — 교육·회의 제외한 실제 대응 시간</t>
        </is>
      </c>
    </row>
    <row r="99">
      <c r="A99" s="25" t="inlineStr">
        <is>
          <t>충원 방식</t>
        </is>
      </c>
      <c r="B99" s="26" t="inlineStr">
        <is>
          <t>정수</t>
        </is>
      </c>
      <c r="G99" s="6" t="inlineStr">
        <is>
          <t>‘정수’: 정규직을 1명 단위로 채용(올림). ‘비례’: 시간제·외주로 부족한 시간만큼만</t>
        </is>
      </c>
    </row>
    <row r="100">
      <c r="A100" s="8" t="inlineStr">
        <is>
          <t>→ 추가 CS 직원 1인 월 비용</t>
        </is>
      </c>
      <c r="B100" s="11">
        <f>입력값!$B$97*(1+입력값!$B$50)/12</f>
        <v/>
      </c>
      <c r="G100" s="6" t="inlineStr">
        <is>
          <t>연봉 × (1 + 사업주 부담률) ÷ 12</t>
        </is>
      </c>
    </row>
    <row r="101">
      <c r="A101" s="25" t="inlineStr">
        <is>
          <t>→ 추가 대응 1시간당 비용</t>
        </is>
      </c>
      <c r="B101" s="20">
        <f>입력값!$B$100/입력값!$B$98</f>
        <v/>
      </c>
      <c r="G101" s="6" t="inlineStr">
        <is>
          <t>손익분기 계산에서 사용</t>
        </is>
      </c>
    </row>
    <row r="103">
      <c r="A103" s="18" t="inlineStr">
        <is>
          <t>10. Enterprise — 고객사 서버 구축형 + 전담 CSM</t>
        </is>
      </c>
      <c r="B103" s="19" t="n"/>
      <c r="C103" s="19" t="n"/>
      <c r="D103" s="19" t="n"/>
      <c r="E103" s="19" t="n"/>
      <c r="F103" s="19" t="n"/>
      <c r="G103" s="19" t="n"/>
    </row>
    <row r="104">
      <c r="A104" s="6" t="inlineStr">
        <is>
          <t>Enterprise는 고객사 서버에 직접 구축하고, 고객사마다 전담 CSM을 둡니다. 계약은 건수가 적고 크기 때문에 아래 표에 한 건씩 입력합니다.</t>
        </is>
      </c>
    </row>
    <row r="105">
      <c r="A105" s="25" t="inlineStr">
        <is>
          <t>서버 구축비 (우리 부담, 신규 계약 1건당 1회)</t>
        </is>
      </c>
      <c r="B105" s="23" t="n">
        <v>30000000</v>
      </c>
      <c r="G105" s="6" t="inlineStr">
        <is>
          <t>가정값 — 설치·보안 검토·데이터 이전·교육에 드는 엔지니어 시간과 외주비</t>
        </is>
      </c>
    </row>
    <row r="106">
      <c r="A106" s="25" t="inlineStr">
        <is>
          <t>구축비 청구액 (고객 부담, 1건당 1회)</t>
        </is>
      </c>
      <c r="B106" s="23" t="n">
        <v>0</v>
      </c>
      <c r="G106" s="6" t="inlineStr">
        <is>
          <t>고객에게 구축비를 따로 받으면 입력. 기본 0 (받지 않음)</t>
        </is>
      </c>
    </row>
    <row r="107">
      <c r="A107" s="25" t="inlineStr">
        <is>
          <t>서버 유지보수비 (고객사당 월)</t>
        </is>
      </c>
      <c r="B107" s="23" t="n">
        <v>1000000</v>
      </c>
      <c r="G107" s="6" t="inlineStr">
        <is>
          <t>가정값 — 원격 모니터링·업데이트 배포·장애 대응</t>
        </is>
      </c>
    </row>
    <row r="108">
      <c r="A108" s="25" t="inlineStr">
        <is>
          <t>전담 CSM 연봉</t>
        </is>
      </c>
      <c r="B108" s="23" t="n">
        <v>55000000</v>
      </c>
      <c r="G108" s="6" t="inlineStr">
        <is>
          <t>가정값</t>
        </is>
      </c>
    </row>
    <row r="109">
      <c r="A109" s="25" t="inlineStr">
        <is>
          <t>고객사당 전담 CSM (계산기용 기본값)</t>
        </is>
      </c>
      <c r="B109" s="33" t="n">
        <v>1</v>
      </c>
      <c r="G109" s="6" t="inlineStr">
        <is>
          <t>1명 또는 2명. 월별전망은 아래 계약 표의 값을 사용</t>
        </is>
      </c>
    </row>
    <row r="110">
      <c r="A110" s="8" t="inlineStr">
        <is>
          <t>→ 전담 CSM 1인 월 비용</t>
        </is>
      </c>
      <c r="B110" s="11">
        <f>입력값!$B$108*(1+입력값!$B$50)/12</f>
        <v/>
      </c>
      <c r="G110" s="6" t="inlineStr">
        <is>
          <t>연봉 × (1 + 사업주 부담률) ÷ 12</t>
        </is>
      </c>
    </row>
    <row r="112">
      <c r="A112" s="7" t="inlineStr">
        <is>
          <t>계약</t>
        </is>
      </c>
      <c r="B112" s="7" t="inlineStr">
        <is>
          <t>시작 개월차</t>
        </is>
      </c>
      <c r="C112" s="7" t="inlineStr">
        <is>
          <t>seat 수</t>
        </is>
      </c>
      <c r="D112" s="7" t="inlineStr">
        <is>
          <t>전담 CSM (명)</t>
        </is>
      </c>
      <c r="E112" s="7" t="inlineStr"/>
      <c r="F112" s="7" t="inlineStr"/>
      <c r="G112" s="7" t="inlineStr">
        <is>
          <t>비고</t>
        </is>
      </c>
    </row>
    <row r="113">
      <c r="A113" s="8" t="inlineStr">
        <is>
          <t>계약 1</t>
        </is>
      </c>
      <c r="B113" s="39" t="n">
        <v>18</v>
      </c>
      <c r="C113" s="24" t="n">
        <v>50</v>
      </c>
      <c r="D113" s="33" t="n">
        <v>1</v>
      </c>
      <c r="G113" s="6" t="inlineStr">
        <is>
          <t>가정값 — 시작 개월차를 비우면 계약 없음. 계약 기간 동안 해지는 없다고 가정</t>
        </is>
      </c>
    </row>
    <row r="114">
      <c r="A114" s="8" t="inlineStr">
        <is>
          <t>계약 2</t>
        </is>
      </c>
      <c r="B114" s="39" t="n">
        <v>30</v>
      </c>
      <c r="C114" s="24" t="n">
        <v>80</v>
      </c>
      <c r="D114" s="33" t="n">
        <v>2</v>
      </c>
      <c r="G114" s="6" t="inlineStr"/>
    </row>
    <row r="115">
      <c r="A115" s="8" t="inlineStr">
        <is>
          <t>계약 3</t>
        </is>
      </c>
      <c r="B115" s="39" t="n"/>
      <c r="C115" s="24" t="n"/>
      <c r="D115" s="33" t="n"/>
      <c r="G115" s="6" t="inlineStr"/>
    </row>
    <row r="116">
      <c r="A116" s="8" t="inlineStr">
        <is>
          <t>계약 4</t>
        </is>
      </c>
      <c r="B116" s="39" t="n"/>
      <c r="C116" s="24" t="n"/>
      <c r="D116" s="33" t="n"/>
      <c r="G116" s="6" t="inlineStr"/>
    </row>
    <row r="117">
      <c r="A117" s="8" t="inlineStr">
        <is>
          <t>계약 5</t>
        </is>
      </c>
      <c r="B117" s="39" t="n"/>
      <c r="C117" s="24" t="n"/>
      <c r="D117" s="33" t="n"/>
      <c r="G117" s="6" t="inlineStr"/>
    </row>
  </sheetData>
  <dataValidations count="3">
    <dataValidation sqref="B12" showDropDown="0" showInputMessage="0" showErrorMessage="0" allowBlank="0" type="list">
      <formula1>"KRW,EUR,USD"</formula1>
    </dataValidation>
    <dataValidation sqref="B15" showDropDown="0" showInputMessage="0" showErrorMessage="0" allowBlank="0" type="list">
      <formula1>"별도,포함"</formula1>
    </dataValidation>
    <dataValidation sqref="B99" showDropDown="0" showInputMessage="0" showErrorMessage="0" allowBlank="0" type="list">
      <formula1>"정수,비례"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손익분기 계산기 — 평균 고객사 수와 seat 수를 넣으면 월 순이익이 나옵니다</t>
        </is>
      </c>
    </row>
    <row r="2">
      <c r="A2" s="6" t="inlineStr">
        <is>
          <t>노란 칸에 플랜별 ‘평균 고객사 수’와 ‘고객사당 평균 seat’를 입력. 세금은 이 월 손익이 1년 내내 유지된다고 보고 연 환산(이월결손금 미반영). 온보딩·구축비 같은 1회성 비용은 제외.</t>
        </is>
      </c>
    </row>
    <row r="4">
      <c r="A4" s="18" t="inlineStr">
        <is>
          <t>1. 입력: 고객사 수와 seat 수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</row>
    <row r="5">
      <c r="A5" s="7" t="inlineStr">
        <is>
          <t>플랜</t>
        </is>
      </c>
      <c r="B5" s="7" t="inlineStr">
        <is>
          <t>평균 고객사 수</t>
        </is>
      </c>
      <c r="C5" s="7" t="inlineStr">
        <is>
          <t>고객사당 평균 seat</t>
        </is>
      </c>
      <c r="D5" s="7" t="inlineStr">
        <is>
          <t>총 seat</t>
        </is>
      </c>
      <c r="E5" s="7" t="inlineStr">
        <is>
          <t>적용 단가 (원/seat)</t>
        </is>
      </c>
      <c r="F5" s="7" t="inlineStr">
        <is>
          <t>월 매출 (원)</t>
        </is>
      </c>
      <c r="G5" s="7" t="inlineStr">
        <is>
          <t>월 공헌이익 (원)</t>
        </is>
      </c>
      <c r="H5" s="7" t="inlineStr">
        <is>
          <t>월 대응 시간</t>
        </is>
      </c>
    </row>
    <row r="6">
      <c r="A6" s="8" t="inlineStr">
        <is>
          <t>Starter</t>
        </is>
      </c>
      <c r="B6" s="32" t="n">
        <v>10</v>
      </c>
      <c r="C6" s="33" t="n">
        <v>2.5</v>
      </c>
      <c r="D6" s="13">
        <f>B6*C6</f>
        <v/>
      </c>
      <c r="E6" s="16">
        <f>입력값!$F$6</f>
        <v/>
      </c>
      <c r="F6" s="20">
        <f>D6*E6*입력값!$B$18</f>
        <v/>
      </c>
      <c r="G6" s="20">
        <f>F6*(1-입력값!$B$17)-D6*입력값!$B$24</f>
        <v/>
      </c>
      <c r="H6" s="40">
        <f>B6*입력값!$B$90+D6*입력값!$B$89</f>
        <v/>
      </c>
      <c r="I6" s="34">
        <f>IF(AND(ISNUMBER(입력값!$E$6),C6&gt;입력값!$E$6),"⚠ 최대 seat 초과","")</f>
        <v/>
      </c>
    </row>
    <row r="7">
      <c r="A7" s="8" t="inlineStr">
        <is>
          <t>Growth</t>
        </is>
      </c>
      <c r="B7" s="32" t="n">
        <v>8</v>
      </c>
      <c r="C7" s="33" t="n">
        <v>5</v>
      </c>
      <c r="D7" s="13">
        <f>B7*C7</f>
        <v/>
      </c>
      <c r="E7" s="16">
        <f>입력값!$F$7</f>
        <v/>
      </c>
      <c r="F7" s="20">
        <f>D7*E7*입력값!$B$18</f>
        <v/>
      </c>
      <c r="G7" s="20">
        <f>F7*(1-입력값!$B$17)-D7*입력값!$C$24</f>
        <v/>
      </c>
      <c r="H7" s="40">
        <f>B7*입력값!$C$90+D7*입력값!$C$89</f>
        <v/>
      </c>
      <c r="I7" s="34">
        <f>IF(AND(ISNUMBER(입력값!$E$7),C7&gt;입력값!$E$7),"⚠ 최대 seat 초과","")</f>
        <v/>
      </c>
    </row>
    <row r="8">
      <c r="A8" s="8" t="inlineStr">
        <is>
          <t>Elite</t>
        </is>
      </c>
      <c r="B8" s="32" t="n">
        <v>3</v>
      </c>
      <c r="C8" s="33" t="n">
        <v>12</v>
      </c>
      <c r="D8" s="13">
        <f>B8*C8</f>
        <v/>
      </c>
      <c r="E8" s="16">
        <f>입력값!$F$8</f>
        <v/>
      </c>
      <c r="F8" s="20">
        <f>D8*E8*입력값!$B$18</f>
        <v/>
      </c>
      <c r="G8" s="20">
        <f>F8*(1-입력값!$B$17)-D8*입력값!$D$24</f>
        <v/>
      </c>
      <c r="H8" s="40">
        <f>B8*입력값!$D$90+D8*입력값!$D$89</f>
        <v/>
      </c>
      <c r="I8" s="34">
        <f>IF(AND(ISNUMBER(입력값!$E$8),C8&gt;입력값!$E$8),"⚠ 최대 seat 초과","")</f>
        <v/>
      </c>
    </row>
    <row r="9">
      <c r="A9" s="8" t="inlineStr">
        <is>
          <t>Enterprise</t>
        </is>
      </c>
      <c r="B9" s="32" t="n">
        <v>0</v>
      </c>
      <c r="C9" s="33" t="n">
        <v>50</v>
      </c>
      <c r="D9" s="13">
        <f>B9*C9</f>
        <v/>
      </c>
      <c r="E9" s="16">
        <f>입력값!$F$9</f>
        <v/>
      </c>
      <c r="F9" s="20">
        <f>D9*E9*입력값!$B$18</f>
        <v/>
      </c>
      <c r="G9" s="20">
        <f>F9*(1-입력값!$B$17)-D9*입력값!$E$24</f>
        <v/>
      </c>
      <c r="H9" s="41" t="inlineStr">
        <is>
          <t>전담 CSM</t>
        </is>
      </c>
      <c r="I9" s="34">
        <f>IF(AND(ISNUMBER(입력값!$E$9),C9&gt;입력값!$E$9),"⚠ 최대 seat 초과","")</f>
        <v/>
      </c>
    </row>
    <row r="10">
      <c r="A10" s="8" t="inlineStr">
        <is>
          <t>합계</t>
        </is>
      </c>
      <c r="B10" s="36">
        <f>SUM(B6:B9)</f>
        <v/>
      </c>
      <c r="C10" s="36">
        <f>IF(B10&gt;0,D10/B10,0)</f>
        <v/>
      </c>
      <c r="D10" s="36">
        <f>SUM(D6:D9)</f>
        <v/>
      </c>
      <c r="F10" s="11">
        <f>SUM(F6:F9)</f>
        <v/>
      </c>
      <c r="G10" s="11">
        <f>SUM(G6:G9)</f>
        <v/>
      </c>
      <c r="H10" s="37">
        <f>SUM(H6:H9)</f>
        <v/>
      </c>
    </row>
    <row r="11">
      <c r="C11" s="6" t="inlineStr">
        <is>
          <t>↑ 고객사당 평균 seat</t>
        </is>
      </c>
    </row>
    <row r="13">
      <c r="A13" s="18" t="inlineStr">
        <is>
          <t>2. 고객 대응 인력 (셀프서브 플랜)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25" t="inlineStr">
        <is>
          <t>필요 대응 시간 (월)</t>
        </is>
      </c>
      <c r="B14" s="40">
        <f>H10</f>
        <v/>
      </c>
    </row>
    <row r="15">
      <c r="A15" s="25" t="inlineStr">
        <is>
          <t>→ 기존 인력 CS 가능 시간 (월)</t>
        </is>
      </c>
      <c r="B15" s="40">
        <f>입력값!$B$96</f>
        <v/>
      </c>
    </row>
    <row r="16">
      <c r="A16" s="25" t="inlineStr">
        <is>
          <t>CS 가동률 (필요 ÷ 가능)</t>
        </is>
      </c>
      <c r="B16" s="42">
        <f>IF(손익분기계산기!$B$15&gt;0,손익분기계산기!$B$14/손익분기계산기!$B$15,0)</f>
        <v/>
      </c>
    </row>
    <row r="17">
      <c r="A17" s="8" t="inlineStr">
        <is>
          <t>추가 CS 인력 (명)</t>
        </is>
      </c>
      <c r="B17" s="36">
        <f>IF(입력값!$B$99="비례",MAX(0,손익분기계산기!$B$14-손익분기계산기!$B$15)/입력값!$B$98,ROUNDUP(MAX(0,손익분기계산기!$B$14-손익분기계산기!$B$15)/입력값!$B$98,0))</f>
        <v/>
      </c>
    </row>
    <row r="18">
      <c r="A18" s="8" t="inlineStr">
        <is>
          <t>추가 CS 인력 월 비용</t>
        </is>
      </c>
      <c r="B18" s="11">
        <f>손익분기계산기!$B$17*입력값!$B$100</f>
        <v/>
      </c>
    </row>
    <row r="19">
      <c r="A19" s="25" t="inlineStr">
        <is>
          <t>현재 인력으로 감당 가능한 최대 고객사 수</t>
        </is>
      </c>
      <c r="B19" s="43">
        <f>IF(H10&gt;0,손익분기계산기!$B$15/(H10/SUM(B6:B8)),"—")</f>
        <v/>
      </c>
      <c r="G19" s="6" t="inlineStr">
        <is>
          <t>현재 플랜 구성 기준. 넘으면 추가 채용 필요</t>
        </is>
      </c>
    </row>
    <row r="21">
      <c r="A21" s="18" t="inlineStr">
        <is>
          <t>3. Enterprise (서버 구축 + 전담 CSM)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>
      <c r="A22" s="25" t="inlineStr">
        <is>
          <t>Enterprise 고객사 수</t>
        </is>
      </c>
      <c r="B22" s="13">
        <f>B9</f>
        <v/>
      </c>
    </row>
    <row r="23">
      <c r="A23" s="25" t="inlineStr">
        <is>
          <t>전담 CSM (명)</t>
        </is>
      </c>
      <c r="B23" s="13">
        <f>B9*입력값!$B$109</f>
        <v/>
      </c>
    </row>
    <row r="24">
      <c r="A24" s="25" t="inlineStr">
        <is>
          <t>전담 CSM 월 비용</t>
        </is>
      </c>
      <c r="B24" s="20">
        <f>손익분기계산기!$B$23*입력값!$B$110</f>
        <v/>
      </c>
    </row>
    <row r="25">
      <c r="A25" s="25" t="inlineStr">
        <is>
          <t>서버 유지보수 월 비용</t>
        </is>
      </c>
      <c r="B25" s="20">
        <f>B9*입력값!$B$107</f>
        <v/>
      </c>
    </row>
    <row r="26">
      <c r="A26" s="44" t="inlineStr">
        <is>
          <t>Enterprise 고객사 1곳 기준 (C9 seat 수 사용)</t>
        </is>
      </c>
    </row>
    <row r="27">
      <c r="A27" s="25" t="inlineStr">
        <is>
          <t>1곳당 월 공헌이익</t>
        </is>
      </c>
      <c r="B27" s="20">
        <f>C9*E9*입력값!$B$18*(1-입력값!$B$17)-C9*입력값!$E$24</f>
        <v/>
      </c>
    </row>
    <row r="28">
      <c r="A28" s="25" t="inlineStr">
        <is>
          <t>1곳당 월 전담 비용 (CSM + 유지보수)</t>
        </is>
      </c>
      <c r="B28" s="20">
        <f>입력값!$B$109*입력값!$B$110+입력값!$B$107</f>
        <v/>
      </c>
    </row>
    <row r="29">
      <c r="A29" s="8" t="inlineStr">
        <is>
          <t>→ 1곳당 월 이익</t>
        </is>
      </c>
      <c r="B29" s="45">
        <f>손익분기계산기!$B$27-손익분기계산기!$B$28</f>
        <v/>
      </c>
    </row>
    <row r="30">
      <c r="A30" s="25" t="inlineStr">
        <is>
          <t>구축비 회수 기간 (개월)</t>
        </is>
      </c>
      <c r="B30" s="43">
        <f>IF(입력값!$B$105-입력값!$B$106&lt;=0,0,IF(손익분기계산기!$B$29&gt;0,(입력값!$B$105-입력값!$B$106)/손익분기계산기!$B$29,"회수 불가"))</f>
        <v/>
      </c>
      <c r="G30" s="6" t="inlineStr">
        <is>
          <t>(구축비 − 구축비 청구액) ÷ 1곳당 월 이익</t>
        </is>
      </c>
    </row>
    <row r="31">
      <c r="A31" s="8" t="inlineStr">
        <is>
          <t>1곳이 적자가 안 나려면 필요한 최소 seat</t>
        </is>
      </c>
      <c r="B31" s="46">
        <f>IF(E9*입력값!$B$18*(1-입력값!$B$17)-입력값!$E$24&gt;0,손익분기계산기!$B$28/(E9*입력값!$B$18*(1-입력값!$B$17)-입력값!$E$24),"—")</f>
        <v/>
      </c>
      <c r="G31" s="6" t="inlineStr">
        <is>
          <t>전담 CSM + 유지보수 비용을 seat 매출로 메우는 지점</t>
        </is>
      </c>
    </row>
    <row r="33">
      <c r="A33" s="18" t="inlineStr">
        <is>
          <t>4. 월 손익 (원)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>
      <c r="A34" s="25" t="inlineStr">
        <is>
          <t>매출</t>
        </is>
      </c>
      <c r="B34" s="20">
        <f>F10</f>
        <v/>
      </c>
    </row>
    <row r="35">
      <c r="A35" s="25" t="inlineStr">
        <is>
          <t>(−) 결제 수수료</t>
        </is>
      </c>
      <c r="B35" s="20">
        <f>-F10*입력값!$B$17</f>
        <v/>
      </c>
    </row>
    <row r="36">
      <c r="A36" s="25" t="inlineStr">
        <is>
          <t>(−) seat 변동비 (AI 포함)</t>
        </is>
      </c>
      <c r="B36" s="20">
        <f>-(D6*입력값!$B$24+D7*입력값!$C$24+D8*입력값!$D$24+D9*입력값!$E$24)</f>
        <v/>
      </c>
    </row>
    <row r="37">
      <c r="A37" s="8" t="inlineStr">
        <is>
          <t>→ 공헌이익</t>
        </is>
      </c>
      <c r="B37" s="11">
        <f>G10</f>
        <v/>
      </c>
    </row>
    <row r="38">
      <c r="A38" s="25" t="inlineStr">
        <is>
          <t>(−) 인건비 (직원 3명, 1년차)</t>
        </is>
      </c>
      <c r="B38" s="20">
        <f>-입력값!$B$51</f>
        <v/>
      </c>
    </row>
    <row r="39">
      <c r="A39" s="25" t="inlineStr">
        <is>
          <t>(−) 추가 CS 인력</t>
        </is>
      </c>
      <c r="B39" s="20">
        <f>-손익분기계산기!$B$18</f>
        <v/>
      </c>
    </row>
    <row r="40">
      <c r="A40" s="25" t="inlineStr">
        <is>
          <t>(−) Enterprise 전담 CSM</t>
        </is>
      </c>
      <c r="B40" s="20">
        <f>-손익분기계산기!$B$24</f>
        <v/>
      </c>
    </row>
    <row r="41">
      <c r="A41" s="25" t="inlineStr">
        <is>
          <t>(−) Enterprise 서버 유지보수</t>
        </is>
      </c>
      <c r="B41" s="20">
        <f>-손익분기계산기!$B$25</f>
        <v/>
      </c>
    </row>
    <row r="42">
      <c r="A42" s="25" t="inlineStr">
        <is>
          <t>(−) 월세</t>
        </is>
      </c>
      <c r="B42" s="20">
        <f>-입력값!$B$27</f>
        <v/>
      </c>
    </row>
    <row r="43">
      <c r="A43" s="25" t="inlineStr">
        <is>
          <t>(−) 기타 고정비</t>
        </is>
      </c>
      <c r="B43" s="20">
        <f>-(입력값!$B$31-입력값!$B$27)</f>
        <v/>
      </c>
    </row>
    <row r="44">
      <c r="A44" s="8" t="inlineStr">
        <is>
          <t>→ 세전이익 (영업이익)</t>
        </is>
      </c>
      <c r="B44" s="11">
        <f>손익분기계산기!$B$37+SUM(B38:B43)</f>
        <v/>
      </c>
    </row>
    <row r="45">
      <c r="A45" s="25" t="inlineStr">
        <is>
          <t>(−) 법인세 + 지방소득세 (월 환산)</t>
        </is>
      </c>
      <c r="B45" s="20">
        <f>-(MIN(MAX(0,손익분기계산기!$B$44*12),입력값!$A$55)*입력값!$B$55+MAX(0,MIN(MAX(0,손익분기계산기!$B$44*12),입력값!$A$56)-입력값!$A$55)*입력값!$B$56+MAX(0,MIN(MAX(0,손익분기계산기!$B$44*12),입력값!$A$57)-입력값!$A$56)*입력값!$B$57+MAX(0,MAX(0,손익분기계산기!$B$44*12)-입력값!$A$57)*입력값!$B$58)*(1+입력값!$B$59)*(1-입력값!$B$60)/12</f>
        <v/>
      </c>
    </row>
    <row r="46">
      <c r="A46" s="8" t="inlineStr">
        <is>
          <t>→ 세후이익</t>
        </is>
      </c>
      <c r="B46" s="11">
        <f>손익분기계산기!$B$44+손익분기계산기!$B$45</f>
        <v/>
      </c>
    </row>
    <row r="47">
      <c r="A47" s="25" t="inlineStr">
        <is>
          <t>(−) 투자자 지분 6%</t>
        </is>
      </c>
      <c r="B47" s="20">
        <f>-MAX(0,손익분기계산기!$B$46)*입력값!$B$64</f>
        <v/>
      </c>
    </row>
    <row r="48">
      <c r="A48" s="47" t="inlineStr">
        <is>
          <t>→ 순이익 (월)</t>
        </is>
      </c>
      <c r="B48" s="45">
        <f>손익분기계산기!$B$46+손익분기계산기!$B$47</f>
        <v/>
      </c>
      <c r="C48" s="8">
        <f>IF(손익분기계산기!$B$48&gt;0,"흑자","적자")</f>
        <v/>
      </c>
    </row>
    <row r="49">
      <c r="A49" s="8" t="inlineStr">
        <is>
          <t>→ 순이익 (연 환산)</t>
        </is>
      </c>
      <c r="B49" s="11">
        <f>손익분기계산기!$B$48*12</f>
        <v/>
      </c>
    </row>
    <row r="51">
      <c r="A51" s="18" t="inlineStr">
        <is>
          <t>5. 손익분기점</t>
        </is>
      </c>
      <c r="B51" s="19" t="n"/>
      <c r="C51" s="19" t="n"/>
      <c r="D51" s="19" t="n"/>
      <c r="E51" s="19" t="n"/>
      <c r="F51" s="19" t="n"/>
      <c r="G51" s="19" t="n"/>
      <c r="H51" s="19" t="n"/>
      <c r="I51" s="19" t="n"/>
    </row>
    <row r="52">
      <c r="A52" s="6" t="inlineStr">
        <is>
          <t>셀프서브 고객사가 몇 곳 있어야 순이익 0을 넘는지 계산합니다. 위 1번 표의 Enterprise 이익(또는 손실)은 그대로 반영합니다.</t>
        </is>
      </c>
    </row>
    <row r="53">
      <c r="A53" s="25" t="inlineStr">
        <is>
          <t>셀프서브 고객사 1곳당 월 공헌이익</t>
        </is>
      </c>
      <c r="B53" s="20">
        <f>IF(SUM(B6:B8)&gt;0,SUM(G6:G8)/SUM(B6:B8),0)</f>
        <v/>
      </c>
    </row>
    <row r="54">
      <c r="A54" s="25" t="inlineStr">
        <is>
          <t>셀프서브 seat 1개당 월 공헌이익</t>
        </is>
      </c>
      <c r="B54" s="20">
        <f>IF(SUM(D6:D8)&gt;0,SUM(G6:G8)/SUM(D6:D8),0)</f>
        <v/>
      </c>
    </row>
    <row r="55">
      <c r="A55" s="25" t="inlineStr">
        <is>
          <t>셀프서브 고객사 1곳당 월 대응 시간</t>
        </is>
      </c>
      <c r="B55" s="40">
        <f>IF(SUM(B6:B8)&gt;0,H10/SUM(B6:B8),0)</f>
        <v/>
      </c>
    </row>
    <row r="56">
      <c r="A56" s="25" t="inlineStr">
        <is>
          <t>고객사 단위 대응 시간 (전화·미팅, 평균)</t>
        </is>
      </c>
      <c r="B56" s="40">
        <f>IF(SUM(B6:B8)&gt;0,(B6*입력값!$B$90+B7*입력값!$C$90+B8*입력값!$D$90)/SUM(B6:B8),0)</f>
        <v/>
      </c>
    </row>
    <row r="57">
      <c r="A57" s="25" t="inlineStr">
        <is>
          <t>seat 단위 대응 시간 (이메일, 평균)</t>
        </is>
      </c>
      <c r="B57" s="40">
        <f>IF(SUM(D6:D8)&gt;0,(D6*입력값!$B$89+D7*입력값!$C$89+D8*입력값!$D$89)/SUM(D6:D8),0)</f>
        <v/>
      </c>
    </row>
    <row r="58">
      <c r="A58" s="25" t="inlineStr">
        <is>
          <t>메워야 할 월 고정비</t>
        </is>
      </c>
      <c r="B58" s="20">
        <f>입력값!$B$51+입력값!$B$31-(G9-손익분기계산기!$B$24-손익분기계산기!$B$25)</f>
        <v/>
      </c>
      <c r="G58" s="6" t="inlineStr">
        <is>
          <t>인건비 + 고정비 − Enterprise 이익 (추가 CS 인력 제외)</t>
        </is>
      </c>
    </row>
    <row r="59">
      <c r="A59" s="8" t="inlineStr">
        <is>
          <t>손익분기 셀프서브 고객사 수</t>
        </is>
      </c>
      <c r="B59" s="48">
        <f>IF(손익분기계산기!$B$53&lt;=0,"공헌이익 ≤ 0",IF(손익분기계산기!$B$58&lt;=0,0,IF(손익분기계산기!$B$58/손익분기계산기!$B$53*손익분기계산기!$B$55&lt;=입력값!$B$96,손익분기계산기!$B$58/손익분기계산기!$B$53,IF(손익분기계산기!$B$53-손익분기계산기!$B$55*입력값!$B$101&gt;0,(손익분기계산기!$B$58-입력값!$B$96*입력값!$B$101)/(손익분기계산기!$B$53-손익분기계산기!$B$55*입력값!$B$101),"대응 비용 &gt; 공헌이익 (흑자 불가)"))))</f>
        <v/>
      </c>
      <c r="G59" s="6" t="inlineStr">
        <is>
          <t>대응 시간이 기존 인력을 넘으면 넘는 시간은 추가 인력 비용으로 계산(시간 비례 근사). 정수 채용이면 실제로는 조금 더 필요</t>
        </is>
      </c>
    </row>
    <row r="60">
      <c r="A60" s="8" t="inlineStr">
        <is>
          <t>손익분기 셀프서브 seat 수</t>
        </is>
      </c>
      <c r="B60" s="48">
        <f>IF(ISNUMBER(손익분기계산기!$B$59),손익분기계산기!$B$59*IF(SUM(B6:B8)&gt;0,SUM(D6:D8)/SUM(B6:B8),0),"—")</f>
        <v/>
      </c>
    </row>
    <row r="61">
      <c r="A61" s="25" t="inlineStr">
        <is>
          <t>현재 대비 추가로 필요한 고객사 수</t>
        </is>
      </c>
      <c r="B61" s="43">
        <f>IF(ISNUMBER(손익분기계산기!$B$59),MAX(0,손익분기계산기!$B$59-SUM(B6:B8)),"—")</f>
        <v/>
      </c>
    </row>
    <row r="63">
      <c r="A63" s="18" t="inlineStr">
        <is>
          <t>6. 민감도 표 — 월 순이익 (원): 셀프서브 고객사 수 × 고객사당 평균 seat</t>
        </is>
      </c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</row>
    <row r="64">
      <c r="A64" s="6" t="inlineStr">
        <is>
          <t>셀프서브 플랜 구성은 1번 표 비율 사용. 추가 CS 인력 비용과 Enterprise 이익 포함. 행·열 머리글(파란 글씨)은 수정 가능.</t>
        </is>
      </c>
    </row>
    <row r="65">
      <c r="A65" s="8" t="inlineStr">
        <is>
          <t>고객사 수 ↓  /  평균 seat →</t>
        </is>
      </c>
      <c r="B65" s="33" t="n">
        <v>2</v>
      </c>
      <c r="C65" s="33" t="n">
        <v>3</v>
      </c>
      <c r="D65" s="33" t="n">
        <v>4</v>
      </c>
      <c r="E65" s="33" t="n">
        <v>5</v>
      </c>
      <c r="F65" s="33" t="n">
        <v>7</v>
      </c>
      <c r="G65" s="33" t="n">
        <v>10</v>
      </c>
      <c r="H65" s="33" t="n">
        <v>15</v>
      </c>
      <c r="I65" s="33" t="n">
        <v>20</v>
      </c>
    </row>
    <row r="66">
      <c r="A66" s="24" t="n">
        <v>5</v>
      </c>
      <c r="B66" s="20">
        <f>(($A66*B$65*손익분기계산기!$B$54-손익분기계산기!$B$58-IF(입력값!$B$99="비례",MAX(0,($A66*손익분기계산기!$B$56+$A66*B$65*손익분기계산기!$B$57)-입력값!$B$96)/입력값!$B$98,ROUNDUP(MAX(0,($A66*손익분기계산기!$B$56+$A66*B$65*손익분기계산기!$B$57)-입력값!$B$96)/입력값!$B$98,0))*입력값!$B$100)-(MIN(MAX(0,($A66*B$65*손익분기계산기!$B$54-손익분기계산기!$B$58-IF(입력값!$B$99="비례",MAX(0,($A66*손익분기계산기!$B$56+$A66*B$65*손익분기계산기!$B$57)-입력값!$B$96)/입력값!$B$98,ROUNDUP(MAX(0,($A66*손익분기계산기!$B$56+$A66*B$65*손익분기계산기!$B$57)-입력값!$B$96)/입력값!$B$98,0))*입력값!$B$100)*12),입력값!$A$55)*입력값!$B$55+MAX(0,MIN(MAX(0,($A66*B$65*손익분기계산기!$B$54-손익분기계산기!$B$58-IF(입력값!$B$99="비례",MAX(0,($A66*손익분기계산기!$B$56+$A66*B$65*손익분기계산기!$B$57)-입력값!$B$96)/입력값!$B$98,ROUNDUP(MAX(0,($A66*손익분기계산기!$B$56+$A66*B$65*손익분기계산기!$B$57)-입력값!$B$96)/입력값!$B$98,0))*입력값!$B$100)*12),입력값!$A$56)-입력값!$A$55)*입력값!$B$56+MAX(0,MIN(MAX(0,($A66*B$65*손익분기계산기!$B$54-손익분기계산기!$B$58-IF(입력값!$B$99="비례",MAX(0,($A66*손익분기계산기!$B$56+$A66*B$65*손익분기계산기!$B$57)-입력값!$B$96)/입력값!$B$98,ROUNDUP(MAX(0,($A66*손익분기계산기!$B$56+$A66*B$65*손익분기계산기!$B$57)-입력값!$B$96)/입력값!$B$98,0))*입력값!$B$100)*12),입력값!$A$57)-입력값!$A$56)*입력값!$B$57+MAX(0,MAX(0,($A66*B$65*손익분기계산기!$B$54-손익분기계산기!$B$58-IF(입력값!$B$99="비례",MAX(0,($A66*손익분기계산기!$B$56+$A66*B$65*손익분기계산기!$B$57)-입력값!$B$96)/입력값!$B$98,ROUNDUP(MAX(0,($A66*손익분기계산기!$B$56+$A66*B$65*손익분기계산기!$B$57)-입력값!$B$96)/입력값!$B$98,0))*입력값!$B$100)*12)-입력값!$A$57)*입력값!$B$58)*(1+입력값!$B$59)*(1-입력값!$B$60)/12)-MAX(0,(($A66*B$65*손익분기계산기!$B$54-손익분기계산기!$B$58-IF(입력값!$B$99="비례",MAX(0,($A66*손익분기계산기!$B$56+$A66*B$65*손익분기계산기!$B$57)-입력값!$B$96)/입력값!$B$98,ROUNDUP(MAX(0,($A66*손익분기계산기!$B$56+$A66*B$65*손익분기계산기!$B$57)-입력값!$B$96)/입력값!$B$98,0))*입력값!$B$100)-(MIN(MAX(0,($A66*B$65*손익분기계산기!$B$54-손익분기계산기!$B$58-IF(입력값!$B$99="비례",MAX(0,($A66*손익분기계산기!$B$56+$A66*B$65*손익분기계산기!$B$57)-입력값!$B$96)/입력값!$B$98,ROUNDUP(MAX(0,($A66*손익분기계산기!$B$56+$A66*B$65*손익분기계산기!$B$57)-입력값!$B$96)/입력값!$B$98,0))*입력값!$B$100)*12),입력값!$A$55)*입력값!$B$55+MAX(0,MIN(MAX(0,($A66*B$65*손익분기계산기!$B$54-손익분기계산기!$B$58-IF(입력값!$B$99="비례",MAX(0,($A66*손익분기계산기!$B$56+$A66*B$65*손익분기계산기!$B$57)-입력값!$B$96)/입력값!$B$98,ROUNDUP(MAX(0,($A66*손익분기계산기!$B$56+$A66*B$65*손익분기계산기!$B$57)-입력값!$B$96)/입력값!$B$98,0))*입력값!$B$100)*12),입력값!$A$56)-입력값!$A$55)*입력값!$B$56+MAX(0,MIN(MAX(0,($A66*B$65*손익분기계산기!$B$54-손익분기계산기!$B$58-IF(입력값!$B$99="비례",MAX(0,($A66*손익분기계산기!$B$56+$A66*B$65*손익분기계산기!$B$57)-입력값!$B$96)/입력값!$B$98,ROUNDUP(MAX(0,($A66*손익분기계산기!$B$56+$A66*B$65*손익분기계산기!$B$57)-입력값!$B$96)/입력값!$B$98,0))*입력값!$B$100)*12),입력값!$A$57)-입력값!$A$56)*입력값!$B$57+MAX(0,MAX(0,($A66*B$65*손익분기계산기!$B$54-손익분기계산기!$B$58-IF(입력값!$B$99="비례",MAX(0,($A66*손익분기계산기!$B$56+$A66*B$65*손익분기계산기!$B$57)-입력값!$B$96)/입력값!$B$98,ROUNDUP(MAX(0,($A66*손익분기계산기!$B$56+$A66*B$65*손익분기계산기!$B$57)-입력값!$B$96)/입력값!$B$98,0))*입력값!$B$100)*12)-입력값!$A$57)*입력값!$B$58)*(1+입력값!$B$59)*(1-입력값!$B$60)/12))*입력값!$B$64</f>
        <v/>
      </c>
      <c r="C66" s="20">
        <f>(($A66*C$65*손익분기계산기!$B$54-손익분기계산기!$B$58-IF(입력값!$B$99="비례",MAX(0,($A66*손익분기계산기!$B$56+$A66*C$65*손익분기계산기!$B$57)-입력값!$B$96)/입력값!$B$98,ROUNDUP(MAX(0,($A66*손익분기계산기!$B$56+$A66*C$65*손익분기계산기!$B$57)-입력값!$B$96)/입력값!$B$98,0))*입력값!$B$100)-(MIN(MAX(0,($A66*C$65*손익분기계산기!$B$54-손익분기계산기!$B$58-IF(입력값!$B$99="비례",MAX(0,($A66*손익분기계산기!$B$56+$A66*C$65*손익분기계산기!$B$57)-입력값!$B$96)/입력값!$B$98,ROUNDUP(MAX(0,($A66*손익분기계산기!$B$56+$A66*C$65*손익분기계산기!$B$57)-입력값!$B$96)/입력값!$B$98,0))*입력값!$B$100)*12),입력값!$A$55)*입력값!$B$55+MAX(0,MIN(MAX(0,($A66*C$65*손익분기계산기!$B$54-손익분기계산기!$B$58-IF(입력값!$B$99="비례",MAX(0,($A66*손익분기계산기!$B$56+$A66*C$65*손익분기계산기!$B$57)-입력값!$B$96)/입력값!$B$98,ROUNDUP(MAX(0,($A66*손익분기계산기!$B$56+$A66*C$65*손익분기계산기!$B$57)-입력값!$B$96)/입력값!$B$98,0))*입력값!$B$100)*12),입력값!$A$56)-입력값!$A$55)*입력값!$B$56+MAX(0,MIN(MAX(0,($A66*C$65*손익분기계산기!$B$54-손익분기계산기!$B$58-IF(입력값!$B$99="비례",MAX(0,($A66*손익분기계산기!$B$56+$A66*C$65*손익분기계산기!$B$57)-입력값!$B$96)/입력값!$B$98,ROUNDUP(MAX(0,($A66*손익분기계산기!$B$56+$A66*C$65*손익분기계산기!$B$57)-입력값!$B$96)/입력값!$B$98,0))*입력값!$B$100)*12),입력값!$A$57)-입력값!$A$56)*입력값!$B$57+MAX(0,MAX(0,($A66*C$65*손익분기계산기!$B$54-손익분기계산기!$B$58-IF(입력값!$B$99="비례",MAX(0,($A66*손익분기계산기!$B$56+$A66*C$65*손익분기계산기!$B$57)-입력값!$B$96)/입력값!$B$98,ROUNDUP(MAX(0,($A66*손익분기계산기!$B$56+$A66*C$65*손익분기계산기!$B$57)-입력값!$B$96)/입력값!$B$98,0))*입력값!$B$100)*12)-입력값!$A$57)*입력값!$B$58)*(1+입력값!$B$59)*(1-입력값!$B$60)/12)-MAX(0,(($A66*C$65*손익분기계산기!$B$54-손익분기계산기!$B$58-IF(입력값!$B$99="비례",MAX(0,($A66*손익분기계산기!$B$56+$A66*C$65*손익분기계산기!$B$57)-입력값!$B$96)/입력값!$B$98,ROUNDUP(MAX(0,($A66*손익분기계산기!$B$56+$A66*C$65*손익분기계산기!$B$57)-입력값!$B$96)/입력값!$B$98,0))*입력값!$B$100)-(MIN(MAX(0,($A66*C$65*손익분기계산기!$B$54-손익분기계산기!$B$58-IF(입력값!$B$99="비례",MAX(0,($A66*손익분기계산기!$B$56+$A66*C$65*손익분기계산기!$B$57)-입력값!$B$96)/입력값!$B$98,ROUNDUP(MAX(0,($A66*손익분기계산기!$B$56+$A66*C$65*손익분기계산기!$B$57)-입력값!$B$96)/입력값!$B$98,0))*입력값!$B$100)*12),입력값!$A$55)*입력값!$B$55+MAX(0,MIN(MAX(0,($A66*C$65*손익분기계산기!$B$54-손익분기계산기!$B$58-IF(입력값!$B$99="비례",MAX(0,($A66*손익분기계산기!$B$56+$A66*C$65*손익분기계산기!$B$57)-입력값!$B$96)/입력값!$B$98,ROUNDUP(MAX(0,($A66*손익분기계산기!$B$56+$A66*C$65*손익분기계산기!$B$57)-입력값!$B$96)/입력값!$B$98,0))*입력값!$B$100)*12),입력값!$A$56)-입력값!$A$55)*입력값!$B$56+MAX(0,MIN(MAX(0,($A66*C$65*손익분기계산기!$B$54-손익분기계산기!$B$58-IF(입력값!$B$99="비례",MAX(0,($A66*손익분기계산기!$B$56+$A66*C$65*손익분기계산기!$B$57)-입력값!$B$96)/입력값!$B$98,ROUNDUP(MAX(0,($A66*손익분기계산기!$B$56+$A66*C$65*손익분기계산기!$B$57)-입력값!$B$96)/입력값!$B$98,0))*입력값!$B$100)*12),입력값!$A$57)-입력값!$A$56)*입력값!$B$57+MAX(0,MAX(0,($A66*C$65*손익분기계산기!$B$54-손익분기계산기!$B$58-IF(입력값!$B$99="비례",MAX(0,($A66*손익분기계산기!$B$56+$A66*C$65*손익분기계산기!$B$57)-입력값!$B$96)/입력값!$B$98,ROUNDUP(MAX(0,($A66*손익분기계산기!$B$56+$A66*C$65*손익분기계산기!$B$57)-입력값!$B$96)/입력값!$B$98,0))*입력값!$B$100)*12)-입력값!$A$57)*입력값!$B$58)*(1+입력값!$B$59)*(1-입력값!$B$60)/12))*입력값!$B$64</f>
        <v/>
      </c>
      <c r="D66" s="20">
        <f>(($A66*D$65*손익분기계산기!$B$54-손익분기계산기!$B$58-IF(입력값!$B$99="비례",MAX(0,($A66*손익분기계산기!$B$56+$A66*D$65*손익분기계산기!$B$57)-입력값!$B$96)/입력값!$B$98,ROUNDUP(MAX(0,($A66*손익분기계산기!$B$56+$A66*D$65*손익분기계산기!$B$57)-입력값!$B$96)/입력값!$B$98,0))*입력값!$B$100)-(MIN(MAX(0,($A66*D$65*손익분기계산기!$B$54-손익분기계산기!$B$58-IF(입력값!$B$99="비례",MAX(0,($A66*손익분기계산기!$B$56+$A66*D$65*손익분기계산기!$B$57)-입력값!$B$96)/입력값!$B$98,ROUNDUP(MAX(0,($A66*손익분기계산기!$B$56+$A66*D$65*손익분기계산기!$B$57)-입력값!$B$96)/입력값!$B$98,0))*입력값!$B$100)*12),입력값!$A$55)*입력값!$B$55+MAX(0,MIN(MAX(0,($A66*D$65*손익분기계산기!$B$54-손익분기계산기!$B$58-IF(입력값!$B$99="비례",MAX(0,($A66*손익분기계산기!$B$56+$A66*D$65*손익분기계산기!$B$57)-입력값!$B$96)/입력값!$B$98,ROUNDUP(MAX(0,($A66*손익분기계산기!$B$56+$A66*D$65*손익분기계산기!$B$57)-입력값!$B$96)/입력값!$B$98,0))*입력값!$B$100)*12),입력값!$A$56)-입력값!$A$55)*입력값!$B$56+MAX(0,MIN(MAX(0,($A66*D$65*손익분기계산기!$B$54-손익분기계산기!$B$58-IF(입력값!$B$99="비례",MAX(0,($A66*손익분기계산기!$B$56+$A66*D$65*손익분기계산기!$B$57)-입력값!$B$96)/입력값!$B$98,ROUNDUP(MAX(0,($A66*손익분기계산기!$B$56+$A66*D$65*손익분기계산기!$B$57)-입력값!$B$96)/입력값!$B$98,0))*입력값!$B$100)*12),입력값!$A$57)-입력값!$A$56)*입력값!$B$57+MAX(0,MAX(0,($A66*D$65*손익분기계산기!$B$54-손익분기계산기!$B$58-IF(입력값!$B$99="비례",MAX(0,($A66*손익분기계산기!$B$56+$A66*D$65*손익분기계산기!$B$57)-입력값!$B$96)/입력값!$B$98,ROUNDUP(MAX(0,($A66*손익분기계산기!$B$56+$A66*D$65*손익분기계산기!$B$57)-입력값!$B$96)/입력값!$B$98,0))*입력값!$B$100)*12)-입력값!$A$57)*입력값!$B$58)*(1+입력값!$B$59)*(1-입력값!$B$60)/12)-MAX(0,(($A66*D$65*손익분기계산기!$B$54-손익분기계산기!$B$58-IF(입력값!$B$99="비례",MAX(0,($A66*손익분기계산기!$B$56+$A66*D$65*손익분기계산기!$B$57)-입력값!$B$96)/입력값!$B$98,ROUNDUP(MAX(0,($A66*손익분기계산기!$B$56+$A66*D$65*손익분기계산기!$B$57)-입력값!$B$96)/입력값!$B$98,0))*입력값!$B$100)-(MIN(MAX(0,($A66*D$65*손익분기계산기!$B$54-손익분기계산기!$B$58-IF(입력값!$B$99="비례",MAX(0,($A66*손익분기계산기!$B$56+$A66*D$65*손익분기계산기!$B$57)-입력값!$B$96)/입력값!$B$98,ROUNDUP(MAX(0,($A66*손익분기계산기!$B$56+$A66*D$65*손익분기계산기!$B$57)-입력값!$B$96)/입력값!$B$98,0))*입력값!$B$100)*12),입력값!$A$55)*입력값!$B$55+MAX(0,MIN(MAX(0,($A66*D$65*손익분기계산기!$B$54-손익분기계산기!$B$58-IF(입력값!$B$99="비례",MAX(0,($A66*손익분기계산기!$B$56+$A66*D$65*손익분기계산기!$B$57)-입력값!$B$96)/입력값!$B$98,ROUNDUP(MAX(0,($A66*손익분기계산기!$B$56+$A66*D$65*손익분기계산기!$B$57)-입력값!$B$96)/입력값!$B$98,0))*입력값!$B$100)*12),입력값!$A$56)-입력값!$A$55)*입력값!$B$56+MAX(0,MIN(MAX(0,($A66*D$65*손익분기계산기!$B$54-손익분기계산기!$B$58-IF(입력값!$B$99="비례",MAX(0,($A66*손익분기계산기!$B$56+$A66*D$65*손익분기계산기!$B$57)-입력값!$B$96)/입력값!$B$98,ROUNDUP(MAX(0,($A66*손익분기계산기!$B$56+$A66*D$65*손익분기계산기!$B$57)-입력값!$B$96)/입력값!$B$98,0))*입력값!$B$100)*12),입력값!$A$57)-입력값!$A$56)*입력값!$B$57+MAX(0,MAX(0,($A66*D$65*손익분기계산기!$B$54-손익분기계산기!$B$58-IF(입력값!$B$99="비례",MAX(0,($A66*손익분기계산기!$B$56+$A66*D$65*손익분기계산기!$B$57)-입력값!$B$96)/입력값!$B$98,ROUNDUP(MAX(0,($A66*손익분기계산기!$B$56+$A66*D$65*손익분기계산기!$B$57)-입력값!$B$96)/입력값!$B$98,0))*입력값!$B$100)*12)-입력값!$A$57)*입력값!$B$58)*(1+입력값!$B$59)*(1-입력값!$B$60)/12))*입력값!$B$64</f>
        <v/>
      </c>
      <c r="E66" s="20">
        <f>(($A66*E$65*손익분기계산기!$B$54-손익분기계산기!$B$58-IF(입력값!$B$99="비례",MAX(0,($A66*손익분기계산기!$B$56+$A66*E$65*손익분기계산기!$B$57)-입력값!$B$96)/입력값!$B$98,ROUNDUP(MAX(0,($A66*손익분기계산기!$B$56+$A66*E$65*손익분기계산기!$B$57)-입력값!$B$96)/입력값!$B$98,0))*입력값!$B$100)-(MIN(MAX(0,($A66*E$65*손익분기계산기!$B$54-손익분기계산기!$B$58-IF(입력값!$B$99="비례",MAX(0,($A66*손익분기계산기!$B$56+$A66*E$65*손익분기계산기!$B$57)-입력값!$B$96)/입력값!$B$98,ROUNDUP(MAX(0,($A66*손익분기계산기!$B$56+$A66*E$65*손익분기계산기!$B$57)-입력값!$B$96)/입력값!$B$98,0))*입력값!$B$100)*12),입력값!$A$55)*입력값!$B$55+MAX(0,MIN(MAX(0,($A66*E$65*손익분기계산기!$B$54-손익분기계산기!$B$58-IF(입력값!$B$99="비례",MAX(0,($A66*손익분기계산기!$B$56+$A66*E$65*손익분기계산기!$B$57)-입력값!$B$96)/입력값!$B$98,ROUNDUP(MAX(0,($A66*손익분기계산기!$B$56+$A66*E$65*손익분기계산기!$B$57)-입력값!$B$96)/입력값!$B$98,0))*입력값!$B$100)*12),입력값!$A$56)-입력값!$A$55)*입력값!$B$56+MAX(0,MIN(MAX(0,($A66*E$65*손익분기계산기!$B$54-손익분기계산기!$B$58-IF(입력값!$B$99="비례",MAX(0,($A66*손익분기계산기!$B$56+$A66*E$65*손익분기계산기!$B$57)-입력값!$B$96)/입력값!$B$98,ROUNDUP(MAX(0,($A66*손익분기계산기!$B$56+$A66*E$65*손익분기계산기!$B$57)-입력값!$B$96)/입력값!$B$98,0))*입력값!$B$100)*12),입력값!$A$57)-입력값!$A$56)*입력값!$B$57+MAX(0,MAX(0,($A66*E$65*손익분기계산기!$B$54-손익분기계산기!$B$58-IF(입력값!$B$99="비례",MAX(0,($A66*손익분기계산기!$B$56+$A66*E$65*손익분기계산기!$B$57)-입력값!$B$96)/입력값!$B$98,ROUNDUP(MAX(0,($A66*손익분기계산기!$B$56+$A66*E$65*손익분기계산기!$B$57)-입력값!$B$96)/입력값!$B$98,0))*입력값!$B$100)*12)-입력값!$A$57)*입력값!$B$58)*(1+입력값!$B$59)*(1-입력값!$B$60)/12)-MAX(0,(($A66*E$65*손익분기계산기!$B$54-손익분기계산기!$B$58-IF(입력값!$B$99="비례",MAX(0,($A66*손익분기계산기!$B$56+$A66*E$65*손익분기계산기!$B$57)-입력값!$B$96)/입력값!$B$98,ROUNDUP(MAX(0,($A66*손익분기계산기!$B$56+$A66*E$65*손익분기계산기!$B$57)-입력값!$B$96)/입력값!$B$98,0))*입력값!$B$100)-(MIN(MAX(0,($A66*E$65*손익분기계산기!$B$54-손익분기계산기!$B$58-IF(입력값!$B$99="비례",MAX(0,($A66*손익분기계산기!$B$56+$A66*E$65*손익분기계산기!$B$57)-입력값!$B$96)/입력값!$B$98,ROUNDUP(MAX(0,($A66*손익분기계산기!$B$56+$A66*E$65*손익분기계산기!$B$57)-입력값!$B$96)/입력값!$B$98,0))*입력값!$B$100)*12),입력값!$A$55)*입력값!$B$55+MAX(0,MIN(MAX(0,($A66*E$65*손익분기계산기!$B$54-손익분기계산기!$B$58-IF(입력값!$B$99="비례",MAX(0,($A66*손익분기계산기!$B$56+$A66*E$65*손익분기계산기!$B$57)-입력값!$B$96)/입력값!$B$98,ROUNDUP(MAX(0,($A66*손익분기계산기!$B$56+$A66*E$65*손익분기계산기!$B$57)-입력값!$B$96)/입력값!$B$98,0))*입력값!$B$100)*12),입력값!$A$56)-입력값!$A$55)*입력값!$B$56+MAX(0,MIN(MAX(0,($A66*E$65*손익분기계산기!$B$54-손익분기계산기!$B$58-IF(입력값!$B$99="비례",MAX(0,($A66*손익분기계산기!$B$56+$A66*E$65*손익분기계산기!$B$57)-입력값!$B$96)/입력값!$B$98,ROUNDUP(MAX(0,($A66*손익분기계산기!$B$56+$A66*E$65*손익분기계산기!$B$57)-입력값!$B$96)/입력값!$B$98,0))*입력값!$B$100)*12),입력값!$A$57)-입력값!$A$56)*입력값!$B$57+MAX(0,MAX(0,($A66*E$65*손익분기계산기!$B$54-손익분기계산기!$B$58-IF(입력값!$B$99="비례",MAX(0,($A66*손익분기계산기!$B$56+$A66*E$65*손익분기계산기!$B$57)-입력값!$B$96)/입력값!$B$98,ROUNDUP(MAX(0,($A66*손익분기계산기!$B$56+$A66*E$65*손익분기계산기!$B$57)-입력값!$B$96)/입력값!$B$98,0))*입력값!$B$100)*12)-입력값!$A$57)*입력값!$B$58)*(1+입력값!$B$59)*(1-입력값!$B$60)/12))*입력값!$B$64</f>
        <v/>
      </c>
      <c r="F66" s="20">
        <f>(($A66*F$65*손익분기계산기!$B$54-손익분기계산기!$B$58-IF(입력값!$B$99="비례",MAX(0,($A66*손익분기계산기!$B$56+$A66*F$65*손익분기계산기!$B$57)-입력값!$B$96)/입력값!$B$98,ROUNDUP(MAX(0,($A66*손익분기계산기!$B$56+$A66*F$65*손익분기계산기!$B$57)-입력값!$B$96)/입력값!$B$98,0))*입력값!$B$100)-(MIN(MAX(0,($A66*F$65*손익분기계산기!$B$54-손익분기계산기!$B$58-IF(입력값!$B$99="비례",MAX(0,($A66*손익분기계산기!$B$56+$A66*F$65*손익분기계산기!$B$57)-입력값!$B$96)/입력값!$B$98,ROUNDUP(MAX(0,($A66*손익분기계산기!$B$56+$A66*F$65*손익분기계산기!$B$57)-입력값!$B$96)/입력값!$B$98,0))*입력값!$B$100)*12),입력값!$A$55)*입력값!$B$55+MAX(0,MIN(MAX(0,($A66*F$65*손익분기계산기!$B$54-손익분기계산기!$B$58-IF(입력값!$B$99="비례",MAX(0,($A66*손익분기계산기!$B$56+$A66*F$65*손익분기계산기!$B$57)-입력값!$B$96)/입력값!$B$98,ROUNDUP(MAX(0,($A66*손익분기계산기!$B$56+$A66*F$65*손익분기계산기!$B$57)-입력값!$B$96)/입력값!$B$98,0))*입력값!$B$100)*12),입력값!$A$56)-입력값!$A$55)*입력값!$B$56+MAX(0,MIN(MAX(0,($A66*F$65*손익분기계산기!$B$54-손익분기계산기!$B$58-IF(입력값!$B$99="비례",MAX(0,($A66*손익분기계산기!$B$56+$A66*F$65*손익분기계산기!$B$57)-입력값!$B$96)/입력값!$B$98,ROUNDUP(MAX(0,($A66*손익분기계산기!$B$56+$A66*F$65*손익분기계산기!$B$57)-입력값!$B$96)/입력값!$B$98,0))*입력값!$B$100)*12),입력값!$A$57)-입력값!$A$56)*입력값!$B$57+MAX(0,MAX(0,($A66*F$65*손익분기계산기!$B$54-손익분기계산기!$B$58-IF(입력값!$B$99="비례",MAX(0,($A66*손익분기계산기!$B$56+$A66*F$65*손익분기계산기!$B$57)-입력값!$B$96)/입력값!$B$98,ROUNDUP(MAX(0,($A66*손익분기계산기!$B$56+$A66*F$65*손익분기계산기!$B$57)-입력값!$B$96)/입력값!$B$98,0))*입력값!$B$100)*12)-입력값!$A$57)*입력값!$B$58)*(1+입력값!$B$59)*(1-입력값!$B$60)/12)-MAX(0,(($A66*F$65*손익분기계산기!$B$54-손익분기계산기!$B$58-IF(입력값!$B$99="비례",MAX(0,($A66*손익분기계산기!$B$56+$A66*F$65*손익분기계산기!$B$57)-입력값!$B$96)/입력값!$B$98,ROUNDUP(MAX(0,($A66*손익분기계산기!$B$56+$A66*F$65*손익분기계산기!$B$57)-입력값!$B$96)/입력값!$B$98,0))*입력값!$B$100)-(MIN(MAX(0,($A66*F$65*손익분기계산기!$B$54-손익분기계산기!$B$58-IF(입력값!$B$99="비례",MAX(0,($A66*손익분기계산기!$B$56+$A66*F$65*손익분기계산기!$B$57)-입력값!$B$96)/입력값!$B$98,ROUNDUP(MAX(0,($A66*손익분기계산기!$B$56+$A66*F$65*손익분기계산기!$B$57)-입력값!$B$96)/입력값!$B$98,0))*입력값!$B$100)*12),입력값!$A$55)*입력값!$B$55+MAX(0,MIN(MAX(0,($A66*F$65*손익분기계산기!$B$54-손익분기계산기!$B$58-IF(입력값!$B$99="비례",MAX(0,($A66*손익분기계산기!$B$56+$A66*F$65*손익분기계산기!$B$57)-입력값!$B$96)/입력값!$B$98,ROUNDUP(MAX(0,($A66*손익분기계산기!$B$56+$A66*F$65*손익분기계산기!$B$57)-입력값!$B$96)/입력값!$B$98,0))*입력값!$B$100)*12),입력값!$A$56)-입력값!$A$55)*입력값!$B$56+MAX(0,MIN(MAX(0,($A66*F$65*손익분기계산기!$B$54-손익분기계산기!$B$58-IF(입력값!$B$99="비례",MAX(0,($A66*손익분기계산기!$B$56+$A66*F$65*손익분기계산기!$B$57)-입력값!$B$96)/입력값!$B$98,ROUNDUP(MAX(0,($A66*손익분기계산기!$B$56+$A66*F$65*손익분기계산기!$B$57)-입력값!$B$96)/입력값!$B$98,0))*입력값!$B$100)*12),입력값!$A$57)-입력값!$A$56)*입력값!$B$57+MAX(0,MAX(0,($A66*F$65*손익분기계산기!$B$54-손익분기계산기!$B$58-IF(입력값!$B$99="비례",MAX(0,($A66*손익분기계산기!$B$56+$A66*F$65*손익분기계산기!$B$57)-입력값!$B$96)/입력값!$B$98,ROUNDUP(MAX(0,($A66*손익분기계산기!$B$56+$A66*F$65*손익분기계산기!$B$57)-입력값!$B$96)/입력값!$B$98,0))*입력값!$B$100)*12)-입력값!$A$57)*입력값!$B$58)*(1+입력값!$B$59)*(1-입력값!$B$60)/12))*입력값!$B$64</f>
        <v/>
      </c>
      <c r="G66" s="20">
        <f>(($A66*G$65*손익분기계산기!$B$54-손익분기계산기!$B$58-IF(입력값!$B$99="비례",MAX(0,($A66*손익분기계산기!$B$56+$A66*G$65*손익분기계산기!$B$57)-입력값!$B$96)/입력값!$B$98,ROUNDUP(MAX(0,($A66*손익분기계산기!$B$56+$A66*G$65*손익분기계산기!$B$57)-입력값!$B$96)/입력값!$B$98,0))*입력값!$B$100)-(MIN(MAX(0,($A66*G$65*손익분기계산기!$B$54-손익분기계산기!$B$58-IF(입력값!$B$99="비례",MAX(0,($A66*손익분기계산기!$B$56+$A66*G$65*손익분기계산기!$B$57)-입력값!$B$96)/입력값!$B$98,ROUNDUP(MAX(0,($A66*손익분기계산기!$B$56+$A66*G$65*손익분기계산기!$B$57)-입력값!$B$96)/입력값!$B$98,0))*입력값!$B$100)*12),입력값!$A$55)*입력값!$B$55+MAX(0,MIN(MAX(0,($A66*G$65*손익분기계산기!$B$54-손익분기계산기!$B$58-IF(입력값!$B$99="비례",MAX(0,($A66*손익분기계산기!$B$56+$A66*G$65*손익분기계산기!$B$57)-입력값!$B$96)/입력값!$B$98,ROUNDUP(MAX(0,($A66*손익분기계산기!$B$56+$A66*G$65*손익분기계산기!$B$57)-입력값!$B$96)/입력값!$B$98,0))*입력값!$B$100)*12),입력값!$A$56)-입력값!$A$55)*입력값!$B$56+MAX(0,MIN(MAX(0,($A66*G$65*손익분기계산기!$B$54-손익분기계산기!$B$58-IF(입력값!$B$99="비례",MAX(0,($A66*손익분기계산기!$B$56+$A66*G$65*손익분기계산기!$B$57)-입력값!$B$96)/입력값!$B$98,ROUNDUP(MAX(0,($A66*손익분기계산기!$B$56+$A66*G$65*손익분기계산기!$B$57)-입력값!$B$96)/입력값!$B$98,0))*입력값!$B$100)*12),입력값!$A$57)-입력값!$A$56)*입력값!$B$57+MAX(0,MAX(0,($A66*G$65*손익분기계산기!$B$54-손익분기계산기!$B$58-IF(입력값!$B$99="비례",MAX(0,($A66*손익분기계산기!$B$56+$A66*G$65*손익분기계산기!$B$57)-입력값!$B$96)/입력값!$B$98,ROUNDUP(MAX(0,($A66*손익분기계산기!$B$56+$A66*G$65*손익분기계산기!$B$57)-입력값!$B$96)/입력값!$B$98,0))*입력값!$B$100)*12)-입력값!$A$57)*입력값!$B$58)*(1+입력값!$B$59)*(1-입력값!$B$60)/12)-MAX(0,(($A66*G$65*손익분기계산기!$B$54-손익분기계산기!$B$58-IF(입력값!$B$99="비례",MAX(0,($A66*손익분기계산기!$B$56+$A66*G$65*손익분기계산기!$B$57)-입력값!$B$96)/입력값!$B$98,ROUNDUP(MAX(0,($A66*손익분기계산기!$B$56+$A66*G$65*손익분기계산기!$B$57)-입력값!$B$96)/입력값!$B$98,0))*입력값!$B$100)-(MIN(MAX(0,($A66*G$65*손익분기계산기!$B$54-손익분기계산기!$B$58-IF(입력값!$B$99="비례",MAX(0,($A66*손익분기계산기!$B$56+$A66*G$65*손익분기계산기!$B$57)-입력값!$B$96)/입력값!$B$98,ROUNDUP(MAX(0,($A66*손익분기계산기!$B$56+$A66*G$65*손익분기계산기!$B$57)-입력값!$B$96)/입력값!$B$98,0))*입력값!$B$100)*12),입력값!$A$55)*입력값!$B$55+MAX(0,MIN(MAX(0,($A66*G$65*손익분기계산기!$B$54-손익분기계산기!$B$58-IF(입력값!$B$99="비례",MAX(0,($A66*손익분기계산기!$B$56+$A66*G$65*손익분기계산기!$B$57)-입력값!$B$96)/입력값!$B$98,ROUNDUP(MAX(0,($A66*손익분기계산기!$B$56+$A66*G$65*손익분기계산기!$B$57)-입력값!$B$96)/입력값!$B$98,0))*입력값!$B$100)*12),입력값!$A$56)-입력값!$A$55)*입력값!$B$56+MAX(0,MIN(MAX(0,($A66*G$65*손익분기계산기!$B$54-손익분기계산기!$B$58-IF(입력값!$B$99="비례",MAX(0,($A66*손익분기계산기!$B$56+$A66*G$65*손익분기계산기!$B$57)-입력값!$B$96)/입력값!$B$98,ROUNDUP(MAX(0,($A66*손익분기계산기!$B$56+$A66*G$65*손익분기계산기!$B$57)-입력값!$B$96)/입력값!$B$98,0))*입력값!$B$100)*12),입력값!$A$57)-입력값!$A$56)*입력값!$B$57+MAX(0,MAX(0,($A66*G$65*손익분기계산기!$B$54-손익분기계산기!$B$58-IF(입력값!$B$99="비례",MAX(0,($A66*손익분기계산기!$B$56+$A66*G$65*손익분기계산기!$B$57)-입력값!$B$96)/입력값!$B$98,ROUNDUP(MAX(0,($A66*손익분기계산기!$B$56+$A66*G$65*손익분기계산기!$B$57)-입력값!$B$96)/입력값!$B$98,0))*입력값!$B$100)*12)-입력값!$A$57)*입력값!$B$58)*(1+입력값!$B$59)*(1-입력값!$B$60)/12))*입력값!$B$64</f>
        <v/>
      </c>
      <c r="H66" s="20">
        <f>(($A66*H$65*손익분기계산기!$B$54-손익분기계산기!$B$58-IF(입력값!$B$99="비례",MAX(0,($A66*손익분기계산기!$B$56+$A66*H$65*손익분기계산기!$B$57)-입력값!$B$96)/입력값!$B$98,ROUNDUP(MAX(0,($A66*손익분기계산기!$B$56+$A66*H$65*손익분기계산기!$B$57)-입력값!$B$96)/입력값!$B$98,0))*입력값!$B$100)-(MIN(MAX(0,($A66*H$65*손익분기계산기!$B$54-손익분기계산기!$B$58-IF(입력값!$B$99="비례",MAX(0,($A66*손익분기계산기!$B$56+$A66*H$65*손익분기계산기!$B$57)-입력값!$B$96)/입력값!$B$98,ROUNDUP(MAX(0,($A66*손익분기계산기!$B$56+$A66*H$65*손익분기계산기!$B$57)-입력값!$B$96)/입력값!$B$98,0))*입력값!$B$100)*12),입력값!$A$55)*입력값!$B$55+MAX(0,MIN(MAX(0,($A66*H$65*손익분기계산기!$B$54-손익분기계산기!$B$58-IF(입력값!$B$99="비례",MAX(0,($A66*손익분기계산기!$B$56+$A66*H$65*손익분기계산기!$B$57)-입력값!$B$96)/입력값!$B$98,ROUNDUP(MAX(0,($A66*손익분기계산기!$B$56+$A66*H$65*손익분기계산기!$B$57)-입력값!$B$96)/입력값!$B$98,0))*입력값!$B$100)*12),입력값!$A$56)-입력값!$A$55)*입력값!$B$56+MAX(0,MIN(MAX(0,($A66*H$65*손익분기계산기!$B$54-손익분기계산기!$B$58-IF(입력값!$B$99="비례",MAX(0,($A66*손익분기계산기!$B$56+$A66*H$65*손익분기계산기!$B$57)-입력값!$B$96)/입력값!$B$98,ROUNDUP(MAX(0,($A66*손익분기계산기!$B$56+$A66*H$65*손익분기계산기!$B$57)-입력값!$B$96)/입력값!$B$98,0))*입력값!$B$100)*12),입력값!$A$57)-입력값!$A$56)*입력값!$B$57+MAX(0,MAX(0,($A66*H$65*손익분기계산기!$B$54-손익분기계산기!$B$58-IF(입력값!$B$99="비례",MAX(0,($A66*손익분기계산기!$B$56+$A66*H$65*손익분기계산기!$B$57)-입력값!$B$96)/입력값!$B$98,ROUNDUP(MAX(0,($A66*손익분기계산기!$B$56+$A66*H$65*손익분기계산기!$B$57)-입력값!$B$96)/입력값!$B$98,0))*입력값!$B$100)*12)-입력값!$A$57)*입력값!$B$58)*(1+입력값!$B$59)*(1-입력값!$B$60)/12)-MAX(0,(($A66*H$65*손익분기계산기!$B$54-손익분기계산기!$B$58-IF(입력값!$B$99="비례",MAX(0,($A66*손익분기계산기!$B$56+$A66*H$65*손익분기계산기!$B$57)-입력값!$B$96)/입력값!$B$98,ROUNDUP(MAX(0,($A66*손익분기계산기!$B$56+$A66*H$65*손익분기계산기!$B$57)-입력값!$B$96)/입력값!$B$98,0))*입력값!$B$100)-(MIN(MAX(0,($A66*H$65*손익분기계산기!$B$54-손익분기계산기!$B$58-IF(입력값!$B$99="비례",MAX(0,($A66*손익분기계산기!$B$56+$A66*H$65*손익분기계산기!$B$57)-입력값!$B$96)/입력값!$B$98,ROUNDUP(MAX(0,($A66*손익분기계산기!$B$56+$A66*H$65*손익분기계산기!$B$57)-입력값!$B$96)/입력값!$B$98,0))*입력값!$B$100)*12),입력값!$A$55)*입력값!$B$55+MAX(0,MIN(MAX(0,($A66*H$65*손익분기계산기!$B$54-손익분기계산기!$B$58-IF(입력값!$B$99="비례",MAX(0,($A66*손익분기계산기!$B$56+$A66*H$65*손익분기계산기!$B$57)-입력값!$B$96)/입력값!$B$98,ROUNDUP(MAX(0,($A66*손익분기계산기!$B$56+$A66*H$65*손익분기계산기!$B$57)-입력값!$B$96)/입력값!$B$98,0))*입력값!$B$100)*12),입력값!$A$56)-입력값!$A$55)*입력값!$B$56+MAX(0,MIN(MAX(0,($A66*H$65*손익분기계산기!$B$54-손익분기계산기!$B$58-IF(입력값!$B$99="비례",MAX(0,($A66*손익분기계산기!$B$56+$A66*H$65*손익분기계산기!$B$57)-입력값!$B$96)/입력값!$B$98,ROUNDUP(MAX(0,($A66*손익분기계산기!$B$56+$A66*H$65*손익분기계산기!$B$57)-입력값!$B$96)/입력값!$B$98,0))*입력값!$B$100)*12),입력값!$A$57)-입력값!$A$56)*입력값!$B$57+MAX(0,MAX(0,($A66*H$65*손익분기계산기!$B$54-손익분기계산기!$B$58-IF(입력값!$B$99="비례",MAX(0,($A66*손익분기계산기!$B$56+$A66*H$65*손익분기계산기!$B$57)-입력값!$B$96)/입력값!$B$98,ROUNDUP(MAX(0,($A66*손익분기계산기!$B$56+$A66*H$65*손익분기계산기!$B$57)-입력값!$B$96)/입력값!$B$98,0))*입력값!$B$100)*12)-입력값!$A$57)*입력값!$B$58)*(1+입력값!$B$59)*(1-입력값!$B$60)/12))*입력값!$B$64</f>
        <v/>
      </c>
      <c r="I66" s="20">
        <f>(($A66*I$65*손익분기계산기!$B$54-손익분기계산기!$B$58-IF(입력값!$B$99="비례",MAX(0,($A66*손익분기계산기!$B$56+$A66*I$65*손익분기계산기!$B$57)-입력값!$B$96)/입력값!$B$98,ROUNDUP(MAX(0,($A66*손익분기계산기!$B$56+$A66*I$65*손익분기계산기!$B$57)-입력값!$B$96)/입력값!$B$98,0))*입력값!$B$100)-(MIN(MAX(0,($A66*I$65*손익분기계산기!$B$54-손익분기계산기!$B$58-IF(입력값!$B$99="비례",MAX(0,($A66*손익분기계산기!$B$56+$A66*I$65*손익분기계산기!$B$57)-입력값!$B$96)/입력값!$B$98,ROUNDUP(MAX(0,($A66*손익분기계산기!$B$56+$A66*I$65*손익분기계산기!$B$57)-입력값!$B$96)/입력값!$B$98,0))*입력값!$B$100)*12),입력값!$A$55)*입력값!$B$55+MAX(0,MIN(MAX(0,($A66*I$65*손익분기계산기!$B$54-손익분기계산기!$B$58-IF(입력값!$B$99="비례",MAX(0,($A66*손익분기계산기!$B$56+$A66*I$65*손익분기계산기!$B$57)-입력값!$B$96)/입력값!$B$98,ROUNDUP(MAX(0,($A66*손익분기계산기!$B$56+$A66*I$65*손익분기계산기!$B$57)-입력값!$B$96)/입력값!$B$98,0))*입력값!$B$100)*12),입력값!$A$56)-입력값!$A$55)*입력값!$B$56+MAX(0,MIN(MAX(0,($A66*I$65*손익분기계산기!$B$54-손익분기계산기!$B$58-IF(입력값!$B$99="비례",MAX(0,($A66*손익분기계산기!$B$56+$A66*I$65*손익분기계산기!$B$57)-입력값!$B$96)/입력값!$B$98,ROUNDUP(MAX(0,($A66*손익분기계산기!$B$56+$A66*I$65*손익분기계산기!$B$57)-입력값!$B$96)/입력값!$B$98,0))*입력값!$B$100)*12),입력값!$A$57)-입력값!$A$56)*입력값!$B$57+MAX(0,MAX(0,($A66*I$65*손익분기계산기!$B$54-손익분기계산기!$B$58-IF(입력값!$B$99="비례",MAX(0,($A66*손익분기계산기!$B$56+$A66*I$65*손익분기계산기!$B$57)-입력값!$B$96)/입력값!$B$98,ROUNDUP(MAX(0,($A66*손익분기계산기!$B$56+$A66*I$65*손익분기계산기!$B$57)-입력값!$B$96)/입력값!$B$98,0))*입력값!$B$100)*12)-입력값!$A$57)*입력값!$B$58)*(1+입력값!$B$59)*(1-입력값!$B$60)/12)-MAX(0,(($A66*I$65*손익분기계산기!$B$54-손익분기계산기!$B$58-IF(입력값!$B$99="비례",MAX(0,($A66*손익분기계산기!$B$56+$A66*I$65*손익분기계산기!$B$57)-입력값!$B$96)/입력값!$B$98,ROUNDUP(MAX(0,($A66*손익분기계산기!$B$56+$A66*I$65*손익분기계산기!$B$57)-입력값!$B$96)/입력값!$B$98,0))*입력값!$B$100)-(MIN(MAX(0,($A66*I$65*손익분기계산기!$B$54-손익분기계산기!$B$58-IF(입력값!$B$99="비례",MAX(0,($A66*손익분기계산기!$B$56+$A66*I$65*손익분기계산기!$B$57)-입력값!$B$96)/입력값!$B$98,ROUNDUP(MAX(0,($A66*손익분기계산기!$B$56+$A66*I$65*손익분기계산기!$B$57)-입력값!$B$96)/입력값!$B$98,0))*입력값!$B$100)*12),입력값!$A$55)*입력값!$B$55+MAX(0,MIN(MAX(0,($A66*I$65*손익분기계산기!$B$54-손익분기계산기!$B$58-IF(입력값!$B$99="비례",MAX(0,($A66*손익분기계산기!$B$56+$A66*I$65*손익분기계산기!$B$57)-입력값!$B$96)/입력값!$B$98,ROUNDUP(MAX(0,($A66*손익분기계산기!$B$56+$A66*I$65*손익분기계산기!$B$57)-입력값!$B$96)/입력값!$B$98,0))*입력값!$B$100)*12),입력값!$A$56)-입력값!$A$55)*입력값!$B$56+MAX(0,MIN(MAX(0,($A66*I$65*손익분기계산기!$B$54-손익분기계산기!$B$58-IF(입력값!$B$99="비례",MAX(0,($A66*손익분기계산기!$B$56+$A66*I$65*손익분기계산기!$B$57)-입력값!$B$96)/입력값!$B$98,ROUNDUP(MAX(0,($A66*손익분기계산기!$B$56+$A66*I$65*손익분기계산기!$B$57)-입력값!$B$96)/입력값!$B$98,0))*입력값!$B$100)*12),입력값!$A$57)-입력값!$A$56)*입력값!$B$57+MAX(0,MAX(0,($A66*I$65*손익분기계산기!$B$54-손익분기계산기!$B$58-IF(입력값!$B$99="비례",MAX(0,($A66*손익분기계산기!$B$56+$A66*I$65*손익분기계산기!$B$57)-입력값!$B$96)/입력값!$B$98,ROUNDUP(MAX(0,($A66*손익분기계산기!$B$56+$A66*I$65*손익분기계산기!$B$57)-입력값!$B$96)/입력값!$B$98,0))*입력값!$B$100)*12)-입력값!$A$57)*입력값!$B$58)*(1+입력값!$B$59)*(1-입력값!$B$60)/12))*입력값!$B$64</f>
        <v/>
      </c>
    </row>
    <row r="67">
      <c r="A67" s="24" t="n">
        <v>10</v>
      </c>
      <c r="B67" s="20">
        <f>(($A67*B$65*손익분기계산기!$B$54-손익분기계산기!$B$58-IF(입력값!$B$99="비례",MAX(0,($A67*손익분기계산기!$B$56+$A67*B$65*손익분기계산기!$B$57)-입력값!$B$96)/입력값!$B$98,ROUNDUP(MAX(0,($A67*손익분기계산기!$B$56+$A67*B$65*손익분기계산기!$B$57)-입력값!$B$96)/입력값!$B$98,0))*입력값!$B$100)-(MIN(MAX(0,($A67*B$65*손익분기계산기!$B$54-손익분기계산기!$B$58-IF(입력값!$B$99="비례",MAX(0,($A67*손익분기계산기!$B$56+$A67*B$65*손익분기계산기!$B$57)-입력값!$B$96)/입력값!$B$98,ROUNDUP(MAX(0,($A67*손익분기계산기!$B$56+$A67*B$65*손익분기계산기!$B$57)-입력값!$B$96)/입력값!$B$98,0))*입력값!$B$100)*12),입력값!$A$55)*입력값!$B$55+MAX(0,MIN(MAX(0,($A67*B$65*손익분기계산기!$B$54-손익분기계산기!$B$58-IF(입력값!$B$99="비례",MAX(0,($A67*손익분기계산기!$B$56+$A67*B$65*손익분기계산기!$B$57)-입력값!$B$96)/입력값!$B$98,ROUNDUP(MAX(0,($A67*손익분기계산기!$B$56+$A67*B$65*손익분기계산기!$B$57)-입력값!$B$96)/입력값!$B$98,0))*입력값!$B$100)*12),입력값!$A$56)-입력값!$A$55)*입력값!$B$56+MAX(0,MIN(MAX(0,($A67*B$65*손익분기계산기!$B$54-손익분기계산기!$B$58-IF(입력값!$B$99="비례",MAX(0,($A67*손익분기계산기!$B$56+$A67*B$65*손익분기계산기!$B$57)-입력값!$B$96)/입력값!$B$98,ROUNDUP(MAX(0,($A67*손익분기계산기!$B$56+$A67*B$65*손익분기계산기!$B$57)-입력값!$B$96)/입력값!$B$98,0))*입력값!$B$100)*12),입력값!$A$57)-입력값!$A$56)*입력값!$B$57+MAX(0,MAX(0,($A67*B$65*손익분기계산기!$B$54-손익분기계산기!$B$58-IF(입력값!$B$99="비례",MAX(0,($A67*손익분기계산기!$B$56+$A67*B$65*손익분기계산기!$B$57)-입력값!$B$96)/입력값!$B$98,ROUNDUP(MAX(0,($A67*손익분기계산기!$B$56+$A67*B$65*손익분기계산기!$B$57)-입력값!$B$96)/입력값!$B$98,0))*입력값!$B$100)*12)-입력값!$A$57)*입력값!$B$58)*(1+입력값!$B$59)*(1-입력값!$B$60)/12)-MAX(0,(($A67*B$65*손익분기계산기!$B$54-손익분기계산기!$B$58-IF(입력값!$B$99="비례",MAX(0,($A67*손익분기계산기!$B$56+$A67*B$65*손익분기계산기!$B$57)-입력값!$B$96)/입력값!$B$98,ROUNDUP(MAX(0,($A67*손익분기계산기!$B$56+$A67*B$65*손익분기계산기!$B$57)-입력값!$B$96)/입력값!$B$98,0))*입력값!$B$100)-(MIN(MAX(0,($A67*B$65*손익분기계산기!$B$54-손익분기계산기!$B$58-IF(입력값!$B$99="비례",MAX(0,($A67*손익분기계산기!$B$56+$A67*B$65*손익분기계산기!$B$57)-입력값!$B$96)/입력값!$B$98,ROUNDUP(MAX(0,($A67*손익분기계산기!$B$56+$A67*B$65*손익분기계산기!$B$57)-입력값!$B$96)/입력값!$B$98,0))*입력값!$B$100)*12),입력값!$A$55)*입력값!$B$55+MAX(0,MIN(MAX(0,($A67*B$65*손익분기계산기!$B$54-손익분기계산기!$B$58-IF(입력값!$B$99="비례",MAX(0,($A67*손익분기계산기!$B$56+$A67*B$65*손익분기계산기!$B$57)-입력값!$B$96)/입력값!$B$98,ROUNDUP(MAX(0,($A67*손익분기계산기!$B$56+$A67*B$65*손익분기계산기!$B$57)-입력값!$B$96)/입력값!$B$98,0))*입력값!$B$100)*12),입력값!$A$56)-입력값!$A$55)*입력값!$B$56+MAX(0,MIN(MAX(0,($A67*B$65*손익분기계산기!$B$54-손익분기계산기!$B$58-IF(입력값!$B$99="비례",MAX(0,($A67*손익분기계산기!$B$56+$A67*B$65*손익분기계산기!$B$57)-입력값!$B$96)/입력값!$B$98,ROUNDUP(MAX(0,($A67*손익분기계산기!$B$56+$A67*B$65*손익분기계산기!$B$57)-입력값!$B$96)/입력값!$B$98,0))*입력값!$B$100)*12),입력값!$A$57)-입력값!$A$56)*입력값!$B$57+MAX(0,MAX(0,($A67*B$65*손익분기계산기!$B$54-손익분기계산기!$B$58-IF(입력값!$B$99="비례",MAX(0,($A67*손익분기계산기!$B$56+$A67*B$65*손익분기계산기!$B$57)-입력값!$B$96)/입력값!$B$98,ROUNDUP(MAX(0,($A67*손익분기계산기!$B$56+$A67*B$65*손익분기계산기!$B$57)-입력값!$B$96)/입력값!$B$98,0))*입력값!$B$100)*12)-입력값!$A$57)*입력값!$B$58)*(1+입력값!$B$59)*(1-입력값!$B$60)/12))*입력값!$B$64</f>
        <v/>
      </c>
      <c r="C67" s="20">
        <f>(($A67*C$65*손익분기계산기!$B$54-손익분기계산기!$B$58-IF(입력값!$B$99="비례",MAX(0,($A67*손익분기계산기!$B$56+$A67*C$65*손익분기계산기!$B$57)-입력값!$B$96)/입력값!$B$98,ROUNDUP(MAX(0,($A67*손익분기계산기!$B$56+$A67*C$65*손익분기계산기!$B$57)-입력값!$B$96)/입력값!$B$98,0))*입력값!$B$100)-(MIN(MAX(0,($A67*C$65*손익분기계산기!$B$54-손익분기계산기!$B$58-IF(입력값!$B$99="비례",MAX(0,($A67*손익분기계산기!$B$56+$A67*C$65*손익분기계산기!$B$57)-입력값!$B$96)/입력값!$B$98,ROUNDUP(MAX(0,($A67*손익분기계산기!$B$56+$A67*C$65*손익분기계산기!$B$57)-입력값!$B$96)/입력값!$B$98,0))*입력값!$B$100)*12),입력값!$A$55)*입력값!$B$55+MAX(0,MIN(MAX(0,($A67*C$65*손익분기계산기!$B$54-손익분기계산기!$B$58-IF(입력값!$B$99="비례",MAX(0,($A67*손익분기계산기!$B$56+$A67*C$65*손익분기계산기!$B$57)-입력값!$B$96)/입력값!$B$98,ROUNDUP(MAX(0,($A67*손익분기계산기!$B$56+$A67*C$65*손익분기계산기!$B$57)-입력값!$B$96)/입력값!$B$98,0))*입력값!$B$100)*12),입력값!$A$56)-입력값!$A$55)*입력값!$B$56+MAX(0,MIN(MAX(0,($A67*C$65*손익분기계산기!$B$54-손익분기계산기!$B$58-IF(입력값!$B$99="비례",MAX(0,($A67*손익분기계산기!$B$56+$A67*C$65*손익분기계산기!$B$57)-입력값!$B$96)/입력값!$B$98,ROUNDUP(MAX(0,($A67*손익분기계산기!$B$56+$A67*C$65*손익분기계산기!$B$57)-입력값!$B$96)/입력값!$B$98,0))*입력값!$B$100)*12),입력값!$A$57)-입력값!$A$56)*입력값!$B$57+MAX(0,MAX(0,($A67*C$65*손익분기계산기!$B$54-손익분기계산기!$B$58-IF(입력값!$B$99="비례",MAX(0,($A67*손익분기계산기!$B$56+$A67*C$65*손익분기계산기!$B$57)-입력값!$B$96)/입력값!$B$98,ROUNDUP(MAX(0,($A67*손익분기계산기!$B$56+$A67*C$65*손익분기계산기!$B$57)-입력값!$B$96)/입력값!$B$98,0))*입력값!$B$100)*12)-입력값!$A$57)*입력값!$B$58)*(1+입력값!$B$59)*(1-입력값!$B$60)/12)-MAX(0,(($A67*C$65*손익분기계산기!$B$54-손익분기계산기!$B$58-IF(입력값!$B$99="비례",MAX(0,($A67*손익분기계산기!$B$56+$A67*C$65*손익분기계산기!$B$57)-입력값!$B$96)/입력값!$B$98,ROUNDUP(MAX(0,($A67*손익분기계산기!$B$56+$A67*C$65*손익분기계산기!$B$57)-입력값!$B$96)/입력값!$B$98,0))*입력값!$B$100)-(MIN(MAX(0,($A67*C$65*손익분기계산기!$B$54-손익분기계산기!$B$58-IF(입력값!$B$99="비례",MAX(0,($A67*손익분기계산기!$B$56+$A67*C$65*손익분기계산기!$B$57)-입력값!$B$96)/입력값!$B$98,ROUNDUP(MAX(0,($A67*손익분기계산기!$B$56+$A67*C$65*손익분기계산기!$B$57)-입력값!$B$96)/입력값!$B$98,0))*입력값!$B$100)*12),입력값!$A$55)*입력값!$B$55+MAX(0,MIN(MAX(0,($A67*C$65*손익분기계산기!$B$54-손익분기계산기!$B$58-IF(입력값!$B$99="비례",MAX(0,($A67*손익분기계산기!$B$56+$A67*C$65*손익분기계산기!$B$57)-입력값!$B$96)/입력값!$B$98,ROUNDUP(MAX(0,($A67*손익분기계산기!$B$56+$A67*C$65*손익분기계산기!$B$57)-입력값!$B$96)/입력값!$B$98,0))*입력값!$B$100)*12),입력값!$A$56)-입력값!$A$55)*입력값!$B$56+MAX(0,MIN(MAX(0,($A67*C$65*손익분기계산기!$B$54-손익분기계산기!$B$58-IF(입력값!$B$99="비례",MAX(0,($A67*손익분기계산기!$B$56+$A67*C$65*손익분기계산기!$B$57)-입력값!$B$96)/입력값!$B$98,ROUNDUP(MAX(0,($A67*손익분기계산기!$B$56+$A67*C$65*손익분기계산기!$B$57)-입력값!$B$96)/입력값!$B$98,0))*입력값!$B$100)*12),입력값!$A$57)-입력값!$A$56)*입력값!$B$57+MAX(0,MAX(0,($A67*C$65*손익분기계산기!$B$54-손익분기계산기!$B$58-IF(입력값!$B$99="비례",MAX(0,($A67*손익분기계산기!$B$56+$A67*C$65*손익분기계산기!$B$57)-입력값!$B$96)/입력값!$B$98,ROUNDUP(MAX(0,($A67*손익분기계산기!$B$56+$A67*C$65*손익분기계산기!$B$57)-입력값!$B$96)/입력값!$B$98,0))*입력값!$B$100)*12)-입력값!$A$57)*입력값!$B$58)*(1+입력값!$B$59)*(1-입력값!$B$60)/12))*입력값!$B$64</f>
        <v/>
      </c>
      <c r="D67" s="20">
        <f>(($A67*D$65*손익분기계산기!$B$54-손익분기계산기!$B$58-IF(입력값!$B$99="비례",MAX(0,($A67*손익분기계산기!$B$56+$A67*D$65*손익분기계산기!$B$57)-입력값!$B$96)/입력값!$B$98,ROUNDUP(MAX(0,($A67*손익분기계산기!$B$56+$A67*D$65*손익분기계산기!$B$57)-입력값!$B$96)/입력값!$B$98,0))*입력값!$B$100)-(MIN(MAX(0,($A67*D$65*손익분기계산기!$B$54-손익분기계산기!$B$58-IF(입력값!$B$99="비례",MAX(0,($A67*손익분기계산기!$B$56+$A67*D$65*손익분기계산기!$B$57)-입력값!$B$96)/입력값!$B$98,ROUNDUP(MAX(0,($A67*손익분기계산기!$B$56+$A67*D$65*손익분기계산기!$B$57)-입력값!$B$96)/입력값!$B$98,0))*입력값!$B$100)*12),입력값!$A$55)*입력값!$B$55+MAX(0,MIN(MAX(0,($A67*D$65*손익분기계산기!$B$54-손익분기계산기!$B$58-IF(입력값!$B$99="비례",MAX(0,($A67*손익분기계산기!$B$56+$A67*D$65*손익분기계산기!$B$57)-입력값!$B$96)/입력값!$B$98,ROUNDUP(MAX(0,($A67*손익분기계산기!$B$56+$A67*D$65*손익분기계산기!$B$57)-입력값!$B$96)/입력값!$B$98,0))*입력값!$B$100)*12),입력값!$A$56)-입력값!$A$55)*입력값!$B$56+MAX(0,MIN(MAX(0,($A67*D$65*손익분기계산기!$B$54-손익분기계산기!$B$58-IF(입력값!$B$99="비례",MAX(0,($A67*손익분기계산기!$B$56+$A67*D$65*손익분기계산기!$B$57)-입력값!$B$96)/입력값!$B$98,ROUNDUP(MAX(0,($A67*손익분기계산기!$B$56+$A67*D$65*손익분기계산기!$B$57)-입력값!$B$96)/입력값!$B$98,0))*입력값!$B$100)*12),입력값!$A$57)-입력값!$A$56)*입력값!$B$57+MAX(0,MAX(0,($A67*D$65*손익분기계산기!$B$54-손익분기계산기!$B$58-IF(입력값!$B$99="비례",MAX(0,($A67*손익분기계산기!$B$56+$A67*D$65*손익분기계산기!$B$57)-입력값!$B$96)/입력값!$B$98,ROUNDUP(MAX(0,($A67*손익분기계산기!$B$56+$A67*D$65*손익분기계산기!$B$57)-입력값!$B$96)/입력값!$B$98,0))*입력값!$B$100)*12)-입력값!$A$57)*입력값!$B$58)*(1+입력값!$B$59)*(1-입력값!$B$60)/12)-MAX(0,(($A67*D$65*손익분기계산기!$B$54-손익분기계산기!$B$58-IF(입력값!$B$99="비례",MAX(0,($A67*손익분기계산기!$B$56+$A67*D$65*손익분기계산기!$B$57)-입력값!$B$96)/입력값!$B$98,ROUNDUP(MAX(0,($A67*손익분기계산기!$B$56+$A67*D$65*손익분기계산기!$B$57)-입력값!$B$96)/입력값!$B$98,0))*입력값!$B$100)-(MIN(MAX(0,($A67*D$65*손익분기계산기!$B$54-손익분기계산기!$B$58-IF(입력값!$B$99="비례",MAX(0,($A67*손익분기계산기!$B$56+$A67*D$65*손익분기계산기!$B$57)-입력값!$B$96)/입력값!$B$98,ROUNDUP(MAX(0,($A67*손익분기계산기!$B$56+$A67*D$65*손익분기계산기!$B$57)-입력값!$B$96)/입력값!$B$98,0))*입력값!$B$100)*12),입력값!$A$55)*입력값!$B$55+MAX(0,MIN(MAX(0,($A67*D$65*손익분기계산기!$B$54-손익분기계산기!$B$58-IF(입력값!$B$99="비례",MAX(0,($A67*손익분기계산기!$B$56+$A67*D$65*손익분기계산기!$B$57)-입력값!$B$96)/입력값!$B$98,ROUNDUP(MAX(0,($A67*손익분기계산기!$B$56+$A67*D$65*손익분기계산기!$B$57)-입력값!$B$96)/입력값!$B$98,0))*입력값!$B$100)*12),입력값!$A$56)-입력값!$A$55)*입력값!$B$56+MAX(0,MIN(MAX(0,($A67*D$65*손익분기계산기!$B$54-손익분기계산기!$B$58-IF(입력값!$B$99="비례",MAX(0,($A67*손익분기계산기!$B$56+$A67*D$65*손익분기계산기!$B$57)-입력값!$B$96)/입력값!$B$98,ROUNDUP(MAX(0,($A67*손익분기계산기!$B$56+$A67*D$65*손익분기계산기!$B$57)-입력값!$B$96)/입력값!$B$98,0))*입력값!$B$100)*12),입력값!$A$57)-입력값!$A$56)*입력값!$B$57+MAX(0,MAX(0,($A67*D$65*손익분기계산기!$B$54-손익분기계산기!$B$58-IF(입력값!$B$99="비례",MAX(0,($A67*손익분기계산기!$B$56+$A67*D$65*손익분기계산기!$B$57)-입력값!$B$96)/입력값!$B$98,ROUNDUP(MAX(0,($A67*손익분기계산기!$B$56+$A67*D$65*손익분기계산기!$B$57)-입력값!$B$96)/입력값!$B$98,0))*입력값!$B$100)*12)-입력값!$A$57)*입력값!$B$58)*(1+입력값!$B$59)*(1-입력값!$B$60)/12))*입력값!$B$64</f>
        <v/>
      </c>
      <c r="E67" s="20">
        <f>(($A67*E$65*손익분기계산기!$B$54-손익분기계산기!$B$58-IF(입력값!$B$99="비례",MAX(0,($A67*손익분기계산기!$B$56+$A67*E$65*손익분기계산기!$B$57)-입력값!$B$96)/입력값!$B$98,ROUNDUP(MAX(0,($A67*손익분기계산기!$B$56+$A67*E$65*손익분기계산기!$B$57)-입력값!$B$96)/입력값!$B$98,0))*입력값!$B$100)-(MIN(MAX(0,($A67*E$65*손익분기계산기!$B$54-손익분기계산기!$B$58-IF(입력값!$B$99="비례",MAX(0,($A67*손익분기계산기!$B$56+$A67*E$65*손익분기계산기!$B$57)-입력값!$B$96)/입력값!$B$98,ROUNDUP(MAX(0,($A67*손익분기계산기!$B$56+$A67*E$65*손익분기계산기!$B$57)-입력값!$B$96)/입력값!$B$98,0))*입력값!$B$100)*12),입력값!$A$55)*입력값!$B$55+MAX(0,MIN(MAX(0,($A67*E$65*손익분기계산기!$B$54-손익분기계산기!$B$58-IF(입력값!$B$99="비례",MAX(0,($A67*손익분기계산기!$B$56+$A67*E$65*손익분기계산기!$B$57)-입력값!$B$96)/입력값!$B$98,ROUNDUP(MAX(0,($A67*손익분기계산기!$B$56+$A67*E$65*손익분기계산기!$B$57)-입력값!$B$96)/입력값!$B$98,0))*입력값!$B$100)*12),입력값!$A$56)-입력값!$A$55)*입력값!$B$56+MAX(0,MIN(MAX(0,($A67*E$65*손익분기계산기!$B$54-손익분기계산기!$B$58-IF(입력값!$B$99="비례",MAX(0,($A67*손익분기계산기!$B$56+$A67*E$65*손익분기계산기!$B$57)-입력값!$B$96)/입력값!$B$98,ROUNDUP(MAX(0,($A67*손익분기계산기!$B$56+$A67*E$65*손익분기계산기!$B$57)-입력값!$B$96)/입력값!$B$98,0))*입력값!$B$100)*12),입력값!$A$57)-입력값!$A$56)*입력값!$B$57+MAX(0,MAX(0,($A67*E$65*손익분기계산기!$B$54-손익분기계산기!$B$58-IF(입력값!$B$99="비례",MAX(0,($A67*손익분기계산기!$B$56+$A67*E$65*손익분기계산기!$B$57)-입력값!$B$96)/입력값!$B$98,ROUNDUP(MAX(0,($A67*손익분기계산기!$B$56+$A67*E$65*손익분기계산기!$B$57)-입력값!$B$96)/입력값!$B$98,0))*입력값!$B$100)*12)-입력값!$A$57)*입력값!$B$58)*(1+입력값!$B$59)*(1-입력값!$B$60)/12)-MAX(0,(($A67*E$65*손익분기계산기!$B$54-손익분기계산기!$B$58-IF(입력값!$B$99="비례",MAX(0,($A67*손익분기계산기!$B$56+$A67*E$65*손익분기계산기!$B$57)-입력값!$B$96)/입력값!$B$98,ROUNDUP(MAX(0,($A67*손익분기계산기!$B$56+$A67*E$65*손익분기계산기!$B$57)-입력값!$B$96)/입력값!$B$98,0))*입력값!$B$100)-(MIN(MAX(0,($A67*E$65*손익분기계산기!$B$54-손익분기계산기!$B$58-IF(입력값!$B$99="비례",MAX(0,($A67*손익분기계산기!$B$56+$A67*E$65*손익분기계산기!$B$57)-입력값!$B$96)/입력값!$B$98,ROUNDUP(MAX(0,($A67*손익분기계산기!$B$56+$A67*E$65*손익분기계산기!$B$57)-입력값!$B$96)/입력값!$B$98,0))*입력값!$B$100)*12),입력값!$A$55)*입력값!$B$55+MAX(0,MIN(MAX(0,($A67*E$65*손익분기계산기!$B$54-손익분기계산기!$B$58-IF(입력값!$B$99="비례",MAX(0,($A67*손익분기계산기!$B$56+$A67*E$65*손익분기계산기!$B$57)-입력값!$B$96)/입력값!$B$98,ROUNDUP(MAX(0,($A67*손익분기계산기!$B$56+$A67*E$65*손익분기계산기!$B$57)-입력값!$B$96)/입력값!$B$98,0))*입력값!$B$100)*12),입력값!$A$56)-입력값!$A$55)*입력값!$B$56+MAX(0,MIN(MAX(0,($A67*E$65*손익분기계산기!$B$54-손익분기계산기!$B$58-IF(입력값!$B$99="비례",MAX(0,($A67*손익분기계산기!$B$56+$A67*E$65*손익분기계산기!$B$57)-입력값!$B$96)/입력값!$B$98,ROUNDUP(MAX(0,($A67*손익분기계산기!$B$56+$A67*E$65*손익분기계산기!$B$57)-입력값!$B$96)/입력값!$B$98,0))*입력값!$B$100)*12),입력값!$A$57)-입력값!$A$56)*입력값!$B$57+MAX(0,MAX(0,($A67*E$65*손익분기계산기!$B$54-손익분기계산기!$B$58-IF(입력값!$B$99="비례",MAX(0,($A67*손익분기계산기!$B$56+$A67*E$65*손익분기계산기!$B$57)-입력값!$B$96)/입력값!$B$98,ROUNDUP(MAX(0,($A67*손익분기계산기!$B$56+$A67*E$65*손익분기계산기!$B$57)-입력값!$B$96)/입력값!$B$98,0))*입력값!$B$100)*12)-입력값!$A$57)*입력값!$B$58)*(1+입력값!$B$59)*(1-입력값!$B$60)/12))*입력값!$B$64</f>
        <v/>
      </c>
      <c r="F67" s="20">
        <f>(($A67*F$65*손익분기계산기!$B$54-손익분기계산기!$B$58-IF(입력값!$B$99="비례",MAX(0,($A67*손익분기계산기!$B$56+$A67*F$65*손익분기계산기!$B$57)-입력값!$B$96)/입력값!$B$98,ROUNDUP(MAX(0,($A67*손익분기계산기!$B$56+$A67*F$65*손익분기계산기!$B$57)-입력값!$B$96)/입력값!$B$98,0))*입력값!$B$100)-(MIN(MAX(0,($A67*F$65*손익분기계산기!$B$54-손익분기계산기!$B$58-IF(입력값!$B$99="비례",MAX(0,($A67*손익분기계산기!$B$56+$A67*F$65*손익분기계산기!$B$57)-입력값!$B$96)/입력값!$B$98,ROUNDUP(MAX(0,($A67*손익분기계산기!$B$56+$A67*F$65*손익분기계산기!$B$57)-입력값!$B$96)/입력값!$B$98,0))*입력값!$B$100)*12),입력값!$A$55)*입력값!$B$55+MAX(0,MIN(MAX(0,($A67*F$65*손익분기계산기!$B$54-손익분기계산기!$B$58-IF(입력값!$B$99="비례",MAX(0,($A67*손익분기계산기!$B$56+$A67*F$65*손익분기계산기!$B$57)-입력값!$B$96)/입력값!$B$98,ROUNDUP(MAX(0,($A67*손익분기계산기!$B$56+$A67*F$65*손익분기계산기!$B$57)-입력값!$B$96)/입력값!$B$98,0))*입력값!$B$100)*12),입력값!$A$56)-입력값!$A$55)*입력값!$B$56+MAX(0,MIN(MAX(0,($A67*F$65*손익분기계산기!$B$54-손익분기계산기!$B$58-IF(입력값!$B$99="비례",MAX(0,($A67*손익분기계산기!$B$56+$A67*F$65*손익분기계산기!$B$57)-입력값!$B$96)/입력값!$B$98,ROUNDUP(MAX(0,($A67*손익분기계산기!$B$56+$A67*F$65*손익분기계산기!$B$57)-입력값!$B$96)/입력값!$B$98,0))*입력값!$B$100)*12),입력값!$A$57)-입력값!$A$56)*입력값!$B$57+MAX(0,MAX(0,($A67*F$65*손익분기계산기!$B$54-손익분기계산기!$B$58-IF(입력값!$B$99="비례",MAX(0,($A67*손익분기계산기!$B$56+$A67*F$65*손익분기계산기!$B$57)-입력값!$B$96)/입력값!$B$98,ROUNDUP(MAX(0,($A67*손익분기계산기!$B$56+$A67*F$65*손익분기계산기!$B$57)-입력값!$B$96)/입력값!$B$98,0))*입력값!$B$100)*12)-입력값!$A$57)*입력값!$B$58)*(1+입력값!$B$59)*(1-입력값!$B$60)/12)-MAX(0,(($A67*F$65*손익분기계산기!$B$54-손익분기계산기!$B$58-IF(입력값!$B$99="비례",MAX(0,($A67*손익분기계산기!$B$56+$A67*F$65*손익분기계산기!$B$57)-입력값!$B$96)/입력값!$B$98,ROUNDUP(MAX(0,($A67*손익분기계산기!$B$56+$A67*F$65*손익분기계산기!$B$57)-입력값!$B$96)/입력값!$B$98,0))*입력값!$B$100)-(MIN(MAX(0,($A67*F$65*손익분기계산기!$B$54-손익분기계산기!$B$58-IF(입력값!$B$99="비례",MAX(0,($A67*손익분기계산기!$B$56+$A67*F$65*손익분기계산기!$B$57)-입력값!$B$96)/입력값!$B$98,ROUNDUP(MAX(0,($A67*손익분기계산기!$B$56+$A67*F$65*손익분기계산기!$B$57)-입력값!$B$96)/입력값!$B$98,0))*입력값!$B$100)*12),입력값!$A$55)*입력값!$B$55+MAX(0,MIN(MAX(0,($A67*F$65*손익분기계산기!$B$54-손익분기계산기!$B$58-IF(입력값!$B$99="비례",MAX(0,($A67*손익분기계산기!$B$56+$A67*F$65*손익분기계산기!$B$57)-입력값!$B$96)/입력값!$B$98,ROUNDUP(MAX(0,($A67*손익분기계산기!$B$56+$A67*F$65*손익분기계산기!$B$57)-입력값!$B$96)/입력값!$B$98,0))*입력값!$B$100)*12),입력값!$A$56)-입력값!$A$55)*입력값!$B$56+MAX(0,MIN(MAX(0,($A67*F$65*손익분기계산기!$B$54-손익분기계산기!$B$58-IF(입력값!$B$99="비례",MAX(0,($A67*손익분기계산기!$B$56+$A67*F$65*손익분기계산기!$B$57)-입력값!$B$96)/입력값!$B$98,ROUNDUP(MAX(0,($A67*손익분기계산기!$B$56+$A67*F$65*손익분기계산기!$B$57)-입력값!$B$96)/입력값!$B$98,0))*입력값!$B$100)*12),입력값!$A$57)-입력값!$A$56)*입력값!$B$57+MAX(0,MAX(0,($A67*F$65*손익분기계산기!$B$54-손익분기계산기!$B$58-IF(입력값!$B$99="비례",MAX(0,($A67*손익분기계산기!$B$56+$A67*F$65*손익분기계산기!$B$57)-입력값!$B$96)/입력값!$B$98,ROUNDUP(MAX(0,($A67*손익분기계산기!$B$56+$A67*F$65*손익분기계산기!$B$57)-입력값!$B$96)/입력값!$B$98,0))*입력값!$B$100)*12)-입력값!$A$57)*입력값!$B$58)*(1+입력값!$B$59)*(1-입력값!$B$60)/12))*입력값!$B$64</f>
        <v/>
      </c>
      <c r="G67" s="20">
        <f>(($A67*G$65*손익분기계산기!$B$54-손익분기계산기!$B$58-IF(입력값!$B$99="비례",MAX(0,($A67*손익분기계산기!$B$56+$A67*G$65*손익분기계산기!$B$57)-입력값!$B$96)/입력값!$B$98,ROUNDUP(MAX(0,($A67*손익분기계산기!$B$56+$A67*G$65*손익분기계산기!$B$57)-입력값!$B$96)/입력값!$B$98,0))*입력값!$B$100)-(MIN(MAX(0,($A67*G$65*손익분기계산기!$B$54-손익분기계산기!$B$58-IF(입력값!$B$99="비례",MAX(0,($A67*손익분기계산기!$B$56+$A67*G$65*손익분기계산기!$B$57)-입력값!$B$96)/입력값!$B$98,ROUNDUP(MAX(0,($A67*손익분기계산기!$B$56+$A67*G$65*손익분기계산기!$B$57)-입력값!$B$96)/입력값!$B$98,0))*입력값!$B$100)*12),입력값!$A$55)*입력값!$B$55+MAX(0,MIN(MAX(0,($A67*G$65*손익분기계산기!$B$54-손익분기계산기!$B$58-IF(입력값!$B$99="비례",MAX(0,($A67*손익분기계산기!$B$56+$A67*G$65*손익분기계산기!$B$57)-입력값!$B$96)/입력값!$B$98,ROUNDUP(MAX(0,($A67*손익분기계산기!$B$56+$A67*G$65*손익분기계산기!$B$57)-입력값!$B$96)/입력값!$B$98,0))*입력값!$B$100)*12),입력값!$A$56)-입력값!$A$55)*입력값!$B$56+MAX(0,MIN(MAX(0,($A67*G$65*손익분기계산기!$B$54-손익분기계산기!$B$58-IF(입력값!$B$99="비례",MAX(0,($A67*손익분기계산기!$B$56+$A67*G$65*손익분기계산기!$B$57)-입력값!$B$96)/입력값!$B$98,ROUNDUP(MAX(0,($A67*손익분기계산기!$B$56+$A67*G$65*손익분기계산기!$B$57)-입력값!$B$96)/입력값!$B$98,0))*입력값!$B$100)*12),입력값!$A$57)-입력값!$A$56)*입력값!$B$57+MAX(0,MAX(0,($A67*G$65*손익분기계산기!$B$54-손익분기계산기!$B$58-IF(입력값!$B$99="비례",MAX(0,($A67*손익분기계산기!$B$56+$A67*G$65*손익분기계산기!$B$57)-입력값!$B$96)/입력값!$B$98,ROUNDUP(MAX(0,($A67*손익분기계산기!$B$56+$A67*G$65*손익분기계산기!$B$57)-입력값!$B$96)/입력값!$B$98,0))*입력값!$B$100)*12)-입력값!$A$57)*입력값!$B$58)*(1+입력값!$B$59)*(1-입력값!$B$60)/12)-MAX(0,(($A67*G$65*손익분기계산기!$B$54-손익분기계산기!$B$58-IF(입력값!$B$99="비례",MAX(0,($A67*손익분기계산기!$B$56+$A67*G$65*손익분기계산기!$B$57)-입력값!$B$96)/입력값!$B$98,ROUNDUP(MAX(0,($A67*손익분기계산기!$B$56+$A67*G$65*손익분기계산기!$B$57)-입력값!$B$96)/입력값!$B$98,0))*입력값!$B$100)-(MIN(MAX(0,($A67*G$65*손익분기계산기!$B$54-손익분기계산기!$B$58-IF(입력값!$B$99="비례",MAX(0,($A67*손익분기계산기!$B$56+$A67*G$65*손익분기계산기!$B$57)-입력값!$B$96)/입력값!$B$98,ROUNDUP(MAX(0,($A67*손익분기계산기!$B$56+$A67*G$65*손익분기계산기!$B$57)-입력값!$B$96)/입력값!$B$98,0))*입력값!$B$100)*12),입력값!$A$55)*입력값!$B$55+MAX(0,MIN(MAX(0,($A67*G$65*손익분기계산기!$B$54-손익분기계산기!$B$58-IF(입력값!$B$99="비례",MAX(0,($A67*손익분기계산기!$B$56+$A67*G$65*손익분기계산기!$B$57)-입력값!$B$96)/입력값!$B$98,ROUNDUP(MAX(0,($A67*손익분기계산기!$B$56+$A67*G$65*손익분기계산기!$B$57)-입력값!$B$96)/입력값!$B$98,0))*입력값!$B$100)*12),입력값!$A$56)-입력값!$A$55)*입력값!$B$56+MAX(0,MIN(MAX(0,($A67*G$65*손익분기계산기!$B$54-손익분기계산기!$B$58-IF(입력값!$B$99="비례",MAX(0,($A67*손익분기계산기!$B$56+$A67*G$65*손익분기계산기!$B$57)-입력값!$B$96)/입력값!$B$98,ROUNDUP(MAX(0,($A67*손익분기계산기!$B$56+$A67*G$65*손익분기계산기!$B$57)-입력값!$B$96)/입력값!$B$98,0))*입력값!$B$100)*12),입력값!$A$57)-입력값!$A$56)*입력값!$B$57+MAX(0,MAX(0,($A67*G$65*손익분기계산기!$B$54-손익분기계산기!$B$58-IF(입력값!$B$99="비례",MAX(0,($A67*손익분기계산기!$B$56+$A67*G$65*손익분기계산기!$B$57)-입력값!$B$96)/입력값!$B$98,ROUNDUP(MAX(0,($A67*손익분기계산기!$B$56+$A67*G$65*손익분기계산기!$B$57)-입력값!$B$96)/입력값!$B$98,0))*입력값!$B$100)*12)-입력값!$A$57)*입력값!$B$58)*(1+입력값!$B$59)*(1-입력값!$B$60)/12))*입력값!$B$64</f>
        <v/>
      </c>
      <c r="H67" s="20">
        <f>(($A67*H$65*손익분기계산기!$B$54-손익분기계산기!$B$58-IF(입력값!$B$99="비례",MAX(0,($A67*손익분기계산기!$B$56+$A67*H$65*손익분기계산기!$B$57)-입력값!$B$96)/입력값!$B$98,ROUNDUP(MAX(0,($A67*손익분기계산기!$B$56+$A67*H$65*손익분기계산기!$B$57)-입력값!$B$96)/입력값!$B$98,0))*입력값!$B$100)-(MIN(MAX(0,($A67*H$65*손익분기계산기!$B$54-손익분기계산기!$B$58-IF(입력값!$B$99="비례",MAX(0,($A67*손익분기계산기!$B$56+$A67*H$65*손익분기계산기!$B$57)-입력값!$B$96)/입력값!$B$98,ROUNDUP(MAX(0,($A67*손익분기계산기!$B$56+$A67*H$65*손익분기계산기!$B$57)-입력값!$B$96)/입력값!$B$98,0))*입력값!$B$100)*12),입력값!$A$55)*입력값!$B$55+MAX(0,MIN(MAX(0,($A67*H$65*손익분기계산기!$B$54-손익분기계산기!$B$58-IF(입력값!$B$99="비례",MAX(0,($A67*손익분기계산기!$B$56+$A67*H$65*손익분기계산기!$B$57)-입력값!$B$96)/입력값!$B$98,ROUNDUP(MAX(0,($A67*손익분기계산기!$B$56+$A67*H$65*손익분기계산기!$B$57)-입력값!$B$96)/입력값!$B$98,0))*입력값!$B$100)*12),입력값!$A$56)-입력값!$A$55)*입력값!$B$56+MAX(0,MIN(MAX(0,($A67*H$65*손익분기계산기!$B$54-손익분기계산기!$B$58-IF(입력값!$B$99="비례",MAX(0,($A67*손익분기계산기!$B$56+$A67*H$65*손익분기계산기!$B$57)-입력값!$B$96)/입력값!$B$98,ROUNDUP(MAX(0,($A67*손익분기계산기!$B$56+$A67*H$65*손익분기계산기!$B$57)-입력값!$B$96)/입력값!$B$98,0))*입력값!$B$100)*12),입력값!$A$57)-입력값!$A$56)*입력값!$B$57+MAX(0,MAX(0,($A67*H$65*손익분기계산기!$B$54-손익분기계산기!$B$58-IF(입력값!$B$99="비례",MAX(0,($A67*손익분기계산기!$B$56+$A67*H$65*손익분기계산기!$B$57)-입력값!$B$96)/입력값!$B$98,ROUNDUP(MAX(0,($A67*손익분기계산기!$B$56+$A67*H$65*손익분기계산기!$B$57)-입력값!$B$96)/입력값!$B$98,0))*입력값!$B$100)*12)-입력값!$A$57)*입력값!$B$58)*(1+입력값!$B$59)*(1-입력값!$B$60)/12)-MAX(0,(($A67*H$65*손익분기계산기!$B$54-손익분기계산기!$B$58-IF(입력값!$B$99="비례",MAX(0,($A67*손익분기계산기!$B$56+$A67*H$65*손익분기계산기!$B$57)-입력값!$B$96)/입력값!$B$98,ROUNDUP(MAX(0,($A67*손익분기계산기!$B$56+$A67*H$65*손익분기계산기!$B$57)-입력값!$B$96)/입력값!$B$98,0))*입력값!$B$100)-(MIN(MAX(0,($A67*H$65*손익분기계산기!$B$54-손익분기계산기!$B$58-IF(입력값!$B$99="비례",MAX(0,($A67*손익분기계산기!$B$56+$A67*H$65*손익분기계산기!$B$57)-입력값!$B$96)/입력값!$B$98,ROUNDUP(MAX(0,($A67*손익분기계산기!$B$56+$A67*H$65*손익분기계산기!$B$57)-입력값!$B$96)/입력값!$B$98,0))*입력값!$B$100)*12),입력값!$A$55)*입력값!$B$55+MAX(0,MIN(MAX(0,($A67*H$65*손익분기계산기!$B$54-손익분기계산기!$B$58-IF(입력값!$B$99="비례",MAX(0,($A67*손익분기계산기!$B$56+$A67*H$65*손익분기계산기!$B$57)-입력값!$B$96)/입력값!$B$98,ROUNDUP(MAX(0,($A67*손익분기계산기!$B$56+$A67*H$65*손익분기계산기!$B$57)-입력값!$B$96)/입력값!$B$98,0))*입력값!$B$100)*12),입력값!$A$56)-입력값!$A$55)*입력값!$B$56+MAX(0,MIN(MAX(0,($A67*H$65*손익분기계산기!$B$54-손익분기계산기!$B$58-IF(입력값!$B$99="비례",MAX(0,($A67*손익분기계산기!$B$56+$A67*H$65*손익분기계산기!$B$57)-입력값!$B$96)/입력값!$B$98,ROUNDUP(MAX(0,($A67*손익분기계산기!$B$56+$A67*H$65*손익분기계산기!$B$57)-입력값!$B$96)/입력값!$B$98,0))*입력값!$B$100)*12),입력값!$A$57)-입력값!$A$56)*입력값!$B$57+MAX(0,MAX(0,($A67*H$65*손익분기계산기!$B$54-손익분기계산기!$B$58-IF(입력값!$B$99="비례",MAX(0,($A67*손익분기계산기!$B$56+$A67*H$65*손익분기계산기!$B$57)-입력값!$B$96)/입력값!$B$98,ROUNDUP(MAX(0,($A67*손익분기계산기!$B$56+$A67*H$65*손익분기계산기!$B$57)-입력값!$B$96)/입력값!$B$98,0))*입력값!$B$100)*12)-입력값!$A$57)*입력값!$B$58)*(1+입력값!$B$59)*(1-입력값!$B$60)/12))*입력값!$B$64</f>
        <v/>
      </c>
      <c r="I67" s="20">
        <f>(($A67*I$65*손익분기계산기!$B$54-손익분기계산기!$B$58-IF(입력값!$B$99="비례",MAX(0,($A67*손익분기계산기!$B$56+$A67*I$65*손익분기계산기!$B$57)-입력값!$B$96)/입력값!$B$98,ROUNDUP(MAX(0,($A67*손익분기계산기!$B$56+$A67*I$65*손익분기계산기!$B$57)-입력값!$B$96)/입력값!$B$98,0))*입력값!$B$100)-(MIN(MAX(0,($A67*I$65*손익분기계산기!$B$54-손익분기계산기!$B$58-IF(입력값!$B$99="비례",MAX(0,($A67*손익분기계산기!$B$56+$A67*I$65*손익분기계산기!$B$57)-입력값!$B$96)/입력값!$B$98,ROUNDUP(MAX(0,($A67*손익분기계산기!$B$56+$A67*I$65*손익분기계산기!$B$57)-입력값!$B$96)/입력값!$B$98,0))*입력값!$B$100)*12),입력값!$A$55)*입력값!$B$55+MAX(0,MIN(MAX(0,($A67*I$65*손익분기계산기!$B$54-손익분기계산기!$B$58-IF(입력값!$B$99="비례",MAX(0,($A67*손익분기계산기!$B$56+$A67*I$65*손익분기계산기!$B$57)-입력값!$B$96)/입력값!$B$98,ROUNDUP(MAX(0,($A67*손익분기계산기!$B$56+$A67*I$65*손익분기계산기!$B$57)-입력값!$B$96)/입력값!$B$98,0))*입력값!$B$100)*12),입력값!$A$56)-입력값!$A$55)*입력값!$B$56+MAX(0,MIN(MAX(0,($A67*I$65*손익분기계산기!$B$54-손익분기계산기!$B$58-IF(입력값!$B$99="비례",MAX(0,($A67*손익분기계산기!$B$56+$A67*I$65*손익분기계산기!$B$57)-입력값!$B$96)/입력값!$B$98,ROUNDUP(MAX(0,($A67*손익분기계산기!$B$56+$A67*I$65*손익분기계산기!$B$57)-입력값!$B$96)/입력값!$B$98,0))*입력값!$B$100)*12),입력값!$A$57)-입력값!$A$56)*입력값!$B$57+MAX(0,MAX(0,($A67*I$65*손익분기계산기!$B$54-손익분기계산기!$B$58-IF(입력값!$B$99="비례",MAX(0,($A67*손익분기계산기!$B$56+$A67*I$65*손익분기계산기!$B$57)-입력값!$B$96)/입력값!$B$98,ROUNDUP(MAX(0,($A67*손익분기계산기!$B$56+$A67*I$65*손익분기계산기!$B$57)-입력값!$B$96)/입력값!$B$98,0))*입력값!$B$100)*12)-입력값!$A$57)*입력값!$B$58)*(1+입력값!$B$59)*(1-입력값!$B$60)/12)-MAX(0,(($A67*I$65*손익분기계산기!$B$54-손익분기계산기!$B$58-IF(입력값!$B$99="비례",MAX(0,($A67*손익분기계산기!$B$56+$A67*I$65*손익분기계산기!$B$57)-입력값!$B$96)/입력값!$B$98,ROUNDUP(MAX(0,($A67*손익분기계산기!$B$56+$A67*I$65*손익분기계산기!$B$57)-입력값!$B$96)/입력값!$B$98,0))*입력값!$B$100)-(MIN(MAX(0,($A67*I$65*손익분기계산기!$B$54-손익분기계산기!$B$58-IF(입력값!$B$99="비례",MAX(0,($A67*손익분기계산기!$B$56+$A67*I$65*손익분기계산기!$B$57)-입력값!$B$96)/입력값!$B$98,ROUNDUP(MAX(0,($A67*손익분기계산기!$B$56+$A67*I$65*손익분기계산기!$B$57)-입력값!$B$96)/입력값!$B$98,0))*입력값!$B$100)*12),입력값!$A$55)*입력값!$B$55+MAX(0,MIN(MAX(0,($A67*I$65*손익분기계산기!$B$54-손익분기계산기!$B$58-IF(입력값!$B$99="비례",MAX(0,($A67*손익분기계산기!$B$56+$A67*I$65*손익분기계산기!$B$57)-입력값!$B$96)/입력값!$B$98,ROUNDUP(MAX(0,($A67*손익분기계산기!$B$56+$A67*I$65*손익분기계산기!$B$57)-입력값!$B$96)/입력값!$B$98,0))*입력값!$B$100)*12),입력값!$A$56)-입력값!$A$55)*입력값!$B$56+MAX(0,MIN(MAX(0,($A67*I$65*손익분기계산기!$B$54-손익분기계산기!$B$58-IF(입력값!$B$99="비례",MAX(0,($A67*손익분기계산기!$B$56+$A67*I$65*손익분기계산기!$B$57)-입력값!$B$96)/입력값!$B$98,ROUNDUP(MAX(0,($A67*손익분기계산기!$B$56+$A67*I$65*손익분기계산기!$B$57)-입력값!$B$96)/입력값!$B$98,0))*입력값!$B$100)*12),입력값!$A$57)-입력값!$A$56)*입력값!$B$57+MAX(0,MAX(0,($A67*I$65*손익분기계산기!$B$54-손익분기계산기!$B$58-IF(입력값!$B$99="비례",MAX(0,($A67*손익분기계산기!$B$56+$A67*I$65*손익분기계산기!$B$57)-입력값!$B$96)/입력값!$B$98,ROUNDUP(MAX(0,($A67*손익분기계산기!$B$56+$A67*I$65*손익분기계산기!$B$57)-입력값!$B$96)/입력값!$B$98,0))*입력값!$B$100)*12)-입력값!$A$57)*입력값!$B$58)*(1+입력값!$B$59)*(1-입력값!$B$60)/12))*입력값!$B$64</f>
        <v/>
      </c>
    </row>
    <row r="68">
      <c r="A68" s="24" t="n">
        <v>15</v>
      </c>
      <c r="B68" s="20">
        <f>(($A68*B$65*손익분기계산기!$B$54-손익분기계산기!$B$58-IF(입력값!$B$99="비례",MAX(0,($A68*손익분기계산기!$B$56+$A68*B$65*손익분기계산기!$B$57)-입력값!$B$96)/입력값!$B$98,ROUNDUP(MAX(0,($A68*손익분기계산기!$B$56+$A68*B$65*손익분기계산기!$B$57)-입력값!$B$96)/입력값!$B$98,0))*입력값!$B$100)-(MIN(MAX(0,($A68*B$65*손익분기계산기!$B$54-손익분기계산기!$B$58-IF(입력값!$B$99="비례",MAX(0,($A68*손익분기계산기!$B$56+$A68*B$65*손익분기계산기!$B$57)-입력값!$B$96)/입력값!$B$98,ROUNDUP(MAX(0,($A68*손익분기계산기!$B$56+$A68*B$65*손익분기계산기!$B$57)-입력값!$B$96)/입력값!$B$98,0))*입력값!$B$100)*12),입력값!$A$55)*입력값!$B$55+MAX(0,MIN(MAX(0,($A68*B$65*손익분기계산기!$B$54-손익분기계산기!$B$58-IF(입력값!$B$99="비례",MAX(0,($A68*손익분기계산기!$B$56+$A68*B$65*손익분기계산기!$B$57)-입력값!$B$96)/입력값!$B$98,ROUNDUP(MAX(0,($A68*손익분기계산기!$B$56+$A68*B$65*손익분기계산기!$B$57)-입력값!$B$96)/입력값!$B$98,0))*입력값!$B$100)*12),입력값!$A$56)-입력값!$A$55)*입력값!$B$56+MAX(0,MIN(MAX(0,($A68*B$65*손익분기계산기!$B$54-손익분기계산기!$B$58-IF(입력값!$B$99="비례",MAX(0,($A68*손익분기계산기!$B$56+$A68*B$65*손익분기계산기!$B$57)-입력값!$B$96)/입력값!$B$98,ROUNDUP(MAX(0,($A68*손익분기계산기!$B$56+$A68*B$65*손익분기계산기!$B$57)-입력값!$B$96)/입력값!$B$98,0))*입력값!$B$100)*12),입력값!$A$57)-입력값!$A$56)*입력값!$B$57+MAX(0,MAX(0,($A68*B$65*손익분기계산기!$B$54-손익분기계산기!$B$58-IF(입력값!$B$99="비례",MAX(0,($A68*손익분기계산기!$B$56+$A68*B$65*손익분기계산기!$B$57)-입력값!$B$96)/입력값!$B$98,ROUNDUP(MAX(0,($A68*손익분기계산기!$B$56+$A68*B$65*손익분기계산기!$B$57)-입력값!$B$96)/입력값!$B$98,0))*입력값!$B$100)*12)-입력값!$A$57)*입력값!$B$58)*(1+입력값!$B$59)*(1-입력값!$B$60)/12)-MAX(0,(($A68*B$65*손익분기계산기!$B$54-손익분기계산기!$B$58-IF(입력값!$B$99="비례",MAX(0,($A68*손익분기계산기!$B$56+$A68*B$65*손익분기계산기!$B$57)-입력값!$B$96)/입력값!$B$98,ROUNDUP(MAX(0,($A68*손익분기계산기!$B$56+$A68*B$65*손익분기계산기!$B$57)-입력값!$B$96)/입력값!$B$98,0))*입력값!$B$100)-(MIN(MAX(0,($A68*B$65*손익분기계산기!$B$54-손익분기계산기!$B$58-IF(입력값!$B$99="비례",MAX(0,($A68*손익분기계산기!$B$56+$A68*B$65*손익분기계산기!$B$57)-입력값!$B$96)/입력값!$B$98,ROUNDUP(MAX(0,($A68*손익분기계산기!$B$56+$A68*B$65*손익분기계산기!$B$57)-입력값!$B$96)/입력값!$B$98,0))*입력값!$B$100)*12),입력값!$A$55)*입력값!$B$55+MAX(0,MIN(MAX(0,($A68*B$65*손익분기계산기!$B$54-손익분기계산기!$B$58-IF(입력값!$B$99="비례",MAX(0,($A68*손익분기계산기!$B$56+$A68*B$65*손익분기계산기!$B$57)-입력값!$B$96)/입력값!$B$98,ROUNDUP(MAX(0,($A68*손익분기계산기!$B$56+$A68*B$65*손익분기계산기!$B$57)-입력값!$B$96)/입력값!$B$98,0))*입력값!$B$100)*12),입력값!$A$56)-입력값!$A$55)*입력값!$B$56+MAX(0,MIN(MAX(0,($A68*B$65*손익분기계산기!$B$54-손익분기계산기!$B$58-IF(입력값!$B$99="비례",MAX(0,($A68*손익분기계산기!$B$56+$A68*B$65*손익분기계산기!$B$57)-입력값!$B$96)/입력값!$B$98,ROUNDUP(MAX(0,($A68*손익분기계산기!$B$56+$A68*B$65*손익분기계산기!$B$57)-입력값!$B$96)/입력값!$B$98,0))*입력값!$B$100)*12),입력값!$A$57)-입력값!$A$56)*입력값!$B$57+MAX(0,MAX(0,($A68*B$65*손익분기계산기!$B$54-손익분기계산기!$B$58-IF(입력값!$B$99="비례",MAX(0,($A68*손익분기계산기!$B$56+$A68*B$65*손익분기계산기!$B$57)-입력값!$B$96)/입력값!$B$98,ROUNDUP(MAX(0,($A68*손익분기계산기!$B$56+$A68*B$65*손익분기계산기!$B$57)-입력값!$B$96)/입력값!$B$98,0))*입력값!$B$100)*12)-입력값!$A$57)*입력값!$B$58)*(1+입력값!$B$59)*(1-입력값!$B$60)/12))*입력값!$B$64</f>
        <v/>
      </c>
      <c r="C68" s="20">
        <f>(($A68*C$65*손익분기계산기!$B$54-손익분기계산기!$B$58-IF(입력값!$B$99="비례",MAX(0,($A68*손익분기계산기!$B$56+$A68*C$65*손익분기계산기!$B$57)-입력값!$B$96)/입력값!$B$98,ROUNDUP(MAX(0,($A68*손익분기계산기!$B$56+$A68*C$65*손익분기계산기!$B$57)-입력값!$B$96)/입력값!$B$98,0))*입력값!$B$100)-(MIN(MAX(0,($A68*C$65*손익분기계산기!$B$54-손익분기계산기!$B$58-IF(입력값!$B$99="비례",MAX(0,($A68*손익분기계산기!$B$56+$A68*C$65*손익분기계산기!$B$57)-입력값!$B$96)/입력값!$B$98,ROUNDUP(MAX(0,($A68*손익분기계산기!$B$56+$A68*C$65*손익분기계산기!$B$57)-입력값!$B$96)/입력값!$B$98,0))*입력값!$B$100)*12),입력값!$A$55)*입력값!$B$55+MAX(0,MIN(MAX(0,($A68*C$65*손익분기계산기!$B$54-손익분기계산기!$B$58-IF(입력값!$B$99="비례",MAX(0,($A68*손익분기계산기!$B$56+$A68*C$65*손익분기계산기!$B$57)-입력값!$B$96)/입력값!$B$98,ROUNDUP(MAX(0,($A68*손익분기계산기!$B$56+$A68*C$65*손익분기계산기!$B$57)-입력값!$B$96)/입력값!$B$98,0))*입력값!$B$100)*12),입력값!$A$56)-입력값!$A$55)*입력값!$B$56+MAX(0,MIN(MAX(0,($A68*C$65*손익분기계산기!$B$54-손익분기계산기!$B$58-IF(입력값!$B$99="비례",MAX(0,($A68*손익분기계산기!$B$56+$A68*C$65*손익분기계산기!$B$57)-입력값!$B$96)/입력값!$B$98,ROUNDUP(MAX(0,($A68*손익분기계산기!$B$56+$A68*C$65*손익분기계산기!$B$57)-입력값!$B$96)/입력값!$B$98,0))*입력값!$B$100)*12),입력값!$A$57)-입력값!$A$56)*입력값!$B$57+MAX(0,MAX(0,($A68*C$65*손익분기계산기!$B$54-손익분기계산기!$B$58-IF(입력값!$B$99="비례",MAX(0,($A68*손익분기계산기!$B$56+$A68*C$65*손익분기계산기!$B$57)-입력값!$B$96)/입력값!$B$98,ROUNDUP(MAX(0,($A68*손익분기계산기!$B$56+$A68*C$65*손익분기계산기!$B$57)-입력값!$B$96)/입력값!$B$98,0))*입력값!$B$100)*12)-입력값!$A$57)*입력값!$B$58)*(1+입력값!$B$59)*(1-입력값!$B$60)/12)-MAX(0,(($A68*C$65*손익분기계산기!$B$54-손익분기계산기!$B$58-IF(입력값!$B$99="비례",MAX(0,($A68*손익분기계산기!$B$56+$A68*C$65*손익분기계산기!$B$57)-입력값!$B$96)/입력값!$B$98,ROUNDUP(MAX(0,($A68*손익분기계산기!$B$56+$A68*C$65*손익분기계산기!$B$57)-입력값!$B$96)/입력값!$B$98,0))*입력값!$B$100)-(MIN(MAX(0,($A68*C$65*손익분기계산기!$B$54-손익분기계산기!$B$58-IF(입력값!$B$99="비례",MAX(0,($A68*손익분기계산기!$B$56+$A68*C$65*손익분기계산기!$B$57)-입력값!$B$96)/입력값!$B$98,ROUNDUP(MAX(0,($A68*손익분기계산기!$B$56+$A68*C$65*손익분기계산기!$B$57)-입력값!$B$96)/입력값!$B$98,0))*입력값!$B$100)*12),입력값!$A$55)*입력값!$B$55+MAX(0,MIN(MAX(0,($A68*C$65*손익분기계산기!$B$54-손익분기계산기!$B$58-IF(입력값!$B$99="비례",MAX(0,($A68*손익분기계산기!$B$56+$A68*C$65*손익분기계산기!$B$57)-입력값!$B$96)/입력값!$B$98,ROUNDUP(MAX(0,($A68*손익분기계산기!$B$56+$A68*C$65*손익분기계산기!$B$57)-입력값!$B$96)/입력값!$B$98,0))*입력값!$B$100)*12),입력값!$A$56)-입력값!$A$55)*입력값!$B$56+MAX(0,MIN(MAX(0,($A68*C$65*손익분기계산기!$B$54-손익분기계산기!$B$58-IF(입력값!$B$99="비례",MAX(0,($A68*손익분기계산기!$B$56+$A68*C$65*손익분기계산기!$B$57)-입력값!$B$96)/입력값!$B$98,ROUNDUP(MAX(0,($A68*손익분기계산기!$B$56+$A68*C$65*손익분기계산기!$B$57)-입력값!$B$96)/입력값!$B$98,0))*입력값!$B$100)*12),입력값!$A$57)-입력값!$A$56)*입력값!$B$57+MAX(0,MAX(0,($A68*C$65*손익분기계산기!$B$54-손익분기계산기!$B$58-IF(입력값!$B$99="비례",MAX(0,($A68*손익분기계산기!$B$56+$A68*C$65*손익분기계산기!$B$57)-입력값!$B$96)/입력값!$B$98,ROUNDUP(MAX(0,($A68*손익분기계산기!$B$56+$A68*C$65*손익분기계산기!$B$57)-입력값!$B$96)/입력값!$B$98,0))*입력값!$B$100)*12)-입력값!$A$57)*입력값!$B$58)*(1+입력값!$B$59)*(1-입력값!$B$60)/12))*입력값!$B$64</f>
        <v/>
      </c>
      <c r="D68" s="20">
        <f>(($A68*D$65*손익분기계산기!$B$54-손익분기계산기!$B$58-IF(입력값!$B$99="비례",MAX(0,($A68*손익분기계산기!$B$56+$A68*D$65*손익분기계산기!$B$57)-입력값!$B$96)/입력값!$B$98,ROUNDUP(MAX(0,($A68*손익분기계산기!$B$56+$A68*D$65*손익분기계산기!$B$57)-입력값!$B$96)/입력값!$B$98,0))*입력값!$B$100)-(MIN(MAX(0,($A68*D$65*손익분기계산기!$B$54-손익분기계산기!$B$58-IF(입력값!$B$99="비례",MAX(0,($A68*손익분기계산기!$B$56+$A68*D$65*손익분기계산기!$B$57)-입력값!$B$96)/입력값!$B$98,ROUNDUP(MAX(0,($A68*손익분기계산기!$B$56+$A68*D$65*손익분기계산기!$B$57)-입력값!$B$96)/입력값!$B$98,0))*입력값!$B$100)*12),입력값!$A$55)*입력값!$B$55+MAX(0,MIN(MAX(0,($A68*D$65*손익분기계산기!$B$54-손익분기계산기!$B$58-IF(입력값!$B$99="비례",MAX(0,($A68*손익분기계산기!$B$56+$A68*D$65*손익분기계산기!$B$57)-입력값!$B$96)/입력값!$B$98,ROUNDUP(MAX(0,($A68*손익분기계산기!$B$56+$A68*D$65*손익분기계산기!$B$57)-입력값!$B$96)/입력값!$B$98,0))*입력값!$B$100)*12),입력값!$A$56)-입력값!$A$55)*입력값!$B$56+MAX(0,MIN(MAX(0,($A68*D$65*손익분기계산기!$B$54-손익분기계산기!$B$58-IF(입력값!$B$99="비례",MAX(0,($A68*손익분기계산기!$B$56+$A68*D$65*손익분기계산기!$B$57)-입력값!$B$96)/입력값!$B$98,ROUNDUP(MAX(0,($A68*손익분기계산기!$B$56+$A68*D$65*손익분기계산기!$B$57)-입력값!$B$96)/입력값!$B$98,0))*입력값!$B$100)*12),입력값!$A$57)-입력값!$A$56)*입력값!$B$57+MAX(0,MAX(0,($A68*D$65*손익분기계산기!$B$54-손익분기계산기!$B$58-IF(입력값!$B$99="비례",MAX(0,($A68*손익분기계산기!$B$56+$A68*D$65*손익분기계산기!$B$57)-입력값!$B$96)/입력값!$B$98,ROUNDUP(MAX(0,($A68*손익분기계산기!$B$56+$A68*D$65*손익분기계산기!$B$57)-입력값!$B$96)/입력값!$B$98,0))*입력값!$B$100)*12)-입력값!$A$57)*입력값!$B$58)*(1+입력값!$B$59)*(1-입력값!$B$60)/12)-MAX(0,(($A68*D$65*손익분기계산기!$B$54-손익분기계산기!$B$58-IF(입력값!$B$99="비례",MAX(0,($A68*손익분기계산기!$B$56+$A68*D$65*손익분기계산기!$B$57)-입력값!$B$96)/입력값!$B$98,ROUNDUP(MAX(0,($A68*손익분기계산기!$B$56+$A68*D$65*손익분기계산기!$B$57)-입력값!$B$96)/입력값!$B$98,0))*입력값!$B$100)-(MIN(MAX(0,($A68*D$65*손익분기계산기!$B$54-손익분기계산기!$B$58-IF(입력값!$B$99="비례",MAX(0,($A68*손익분기계산기!$B$56+$A68*D$65*손익분기계산기!$B$57)-입력값!$B$96)/입력값!$B$98,ROUNDUP(MAX(0,($A68*손익분기계산기!$B$56+$A68*D$65*손익분기계산기!$B$57)-입력값!$B$96)/입력값!$B$98,0))*입력값!$B$100)*12),입력값!$A$55)*입력값!$B$55+MAX(0,MIN(MAX(0,($A68*D$65*손익분기계산기!$B$54-손익분기계산기!$B$58-IF(입력값!$B$99="비례",MAX(0,($A68*손익분기계산기!$B$56+$A68*D$65*손익분기계산기!$B$57)-입력값!$B$96)/입력값!$B$98,ROUNDUP(MAX(0,($A68*손익분기계산기!$B$56+$A68*D$65*손익분기계산기!$B$57)-입력값!$B$96)/입력값!$B$98,0))*입력값!$B$100)*12),입력값!$A$56)-입력값!$A$55)*입력값!$B$56+MAX(0,MIN(MAX(0,($A68*D$65*손익분기계산기!$B$54-손익분기계산기!$B$58-IF(입력값!$B$99="비례",MAX(0,($A68*손익분기계산기!$B$56+$A68*D$65*손익분기계산기!$B$57)-입력값!$B$96)/입력값!$B$98,ROUNDUP(MAX(0,($A68*손익분기계산기!$B$56+$A68*D$65*손익분기계산기!$B$57)-입력값!$B$96)/입력값!$B$98,0))*입력값!$B$100)*12),입력값!$A$57)-입력값!$A$56)*입력값!$B$57+MAX(0,MAX(0,($A68*D$65*손익분기계산기!$B$54-손익분기계산기!$B$58-IF(입력값!$B$99="비례",MAX(0,($A68*손익분기계산기!$B$56+$A68*D$65*손익분기계산기!$B$57)-입력값!$B$96)/입력값!$B$98,ROUNDUP(MAX(0,($A68*손익분기계산기!$B$56+$A68*D$65*손익분기계산기!$B$57)-입력값!$B$96)/입력값!$B$98,0))*입력값!$B$100)*12)-입력값!$A$57)*입력값!$B$58)*(1+입력값!$B$59)*(1-입력값!$B$60)/12))*입력값!$B$64</f>
        <v/>
      </c>
      <c r="E68" s="20">
        <f>(($A68*E$65*손익분기계산기!$B$54-손익분기계산기!$B$58-IF(입력값!$B$99="비례",MAX(0,($A68*손익분기계산기!$B$56+$A68*E$65*손익분기계산기!$B$57)-입력값!$B$96)/입력값!$B$98,ROUNDUP(MAX(0,($A68*손익분기계산기!$B$56+$A68*E$65*손익분기계산기!$B$57)-입력값!$B$96)/입력값!$B$98,0))*입력값!$B$100)-(MIN(MAX(0,($A68*E$65*손익분기계산기!$B$54-손익분기계산기!$B$58-IF(입력값!$B$99="비례",MAX(0,($A68*손익분기계산기!$B$56+$A68*E$65*손익분기계산기!$B$57)-입력값!$B$96)/입력값!$B$98,ROUNDUP(MAX(0,($A68*손익분기계산기!$B$56+$A68*E$65*손익분기계산기!$B$57)-입력값!$B$96)/입력값!$B$98,0))*입력값!$B$100)*12),입력값!$A$55)*입력값!$B$55+MAX(0,MIN(MAX(0,($A68*E$65*손익분기계산기!$B$54-손익분기계산기!$B$58-IF(입력값!$B$99="비례",MAX(0,($A68*손익분기계산기!$B$56+$A68*E$65*손익분기계산기!$B$57)-입력값!$B$96)/입력값!$B$98,ROUNDUP(MAX(0,($A68*손익분기계산기!$B$56+$A68*E$65*손익분기계산기!$B$57)-입력값!$B$96)/입력값!$B$98,0))*입력값!$B$100)*12),입력값!$A$56)-입력값!$A$55)*입력값!$B$56+MAX(0,MIN(MAX(0,($A68*E$65*손익분기계산기!$B$54-손익분기계산기!$B$58-IF(입력값!$B$99="비례",MAX(0,($A68*손익분기계산기!$B$56+$A68*E$65*손익분기계산기!$B$57)-입력값!$B$96)/입력값!$B$98,ROUNDUP(MAX(0,($A68*손익분기계산기!$B$56+$A68*E$65*손익분기계산기!$B$57)-입력값!$B$96)/입력값!$B$98,0))*입력값!$B$100)*12),입력값!$A$57)-입력값!$A$56)*입력값!$B$57+MAX(0,MAX(0,($A68*E$65*손익분기계산기!$B$54-손익분기계산기!$B$58-IF(입력값!$B$99="비례",MAX(0,($A68*손익분기계산기!$B$56+$A68*E$65*손익분기계산기!$B$57)-입력값!$B$96)/입력값!$B$98,ROUNDUP(MAX(0,($A68*손익분기계산기!$B$56+$A68*E$65*손익분기계산기!$B$57)-입력값!$B$96)/입력값!$B$98,0))*입력값!$B$100)*12)-입력값!$A$57)*입력값!$B$58)*(1+입력값!$B$59)*(1-입력값!$B$60)/12)-MAX(0,(($A68*E$65*손익분기계산기!$B$54-손익분기계산기!$B$58-IF(입력값!$B$99="비례",MAX(0,($A68*손익분기계산기!$B$56+$A68*E$65*손익분기계산기!$B$57)-입력값!$B$96)/입력값!$B$98,ROUNDUP(MAX(0,($A68*손익분기계산기!$B$56+$A68*E$65*손익분기계산기!$B$57)-입력값!$B$96)/입력값!$B$98,0))*입력값!$B$100)-(MIN(MAX(0,($A68*E$65*손익분기계산기!$B$54-손익분기계산기!$B$58-IF(입력값!$B$99="비례",MAX(0,($A68*손익분기계산기!$B$56+$A68*E$65*손익분기계산기!$B$57)-입력값!$B$96)/입력값!$B$98,ROUNDUP(MAX(0,($A68*손익분기계산기!$B$56+$A68*E$65*손익분기계산기!$B$57)-입력값!$B$96)/입력값!$B$98,0))*입력값!$B$100)*12),입력값!$A$55)*입력값!$B$55+MAX(0,MIN(MAX(0,($A68*E$65*손익분기계산기!$B$54-손익분기계산기!$B$58-IF(입력값!$B$99="비례",MAX(0,($A68*손익분기계산기!$B$56+$A68*E$65*손익분기계산기!$B$57)-입력값!$B$96)/입력값!$B$98,ROUNDUP(MAX(0,($A68*손익분기계산기!$B$56+$A68*E$65*손익분기계산기!$B$57)-입력값!$B$96)/입력값!$B$98,0))*입력값!$B$100)*12),입력값!$A$56)-입력값!$A$55)*입력값!$B$56+MAX(0,MIN(MAX(0,($A68*E$65*손익분기계산기!$B$54-손익분기계산기!$B$58-IF(입력값!$B$99="비례",MAX(0,($A68*손익분기계산기!$B$56+$A68*E$65*손익분기계산기!$B$57)-입력값!$B$96)/입력값!$B$98,ROUNDUP(MAX(0,($A68*손익분기계산기!$B$56+$A68*E$65*손익분기계산기!$B$57)-입력값!$B$96)/입력값!$B$98,0))*입력값!$B$100)*12),입력값!$A$57)-입력값!$A$56)*입력값!$B$57+MAX(0,MAX(0,($A68*E$65*손익분기계산기!$B$54-손익분기계산기!$B$58-IF(입력값!$B$99="비례",MAX(0,($A68*손익분기계산기!$B$56+$A68*E$65*손익분기계산기!$B$57)-입력값!$B$96)/입력값!$B$98,ROUNDUP(MAX(0,($A68*손익분기계산기!$B$56+$A68*E$65*손익분기계산기!$B$57)-입력값!$B$96)/입력값!$B$98,0))*입력값!$B$100)*12)-입력값!$A$57)*입력값!$B$58)*(1+입력값!$B$59)*(1-입력값!$B$60)/12))*입력값!$B$64</f>
        <v/>
      </c>
      <c r="F68" s="20">
        <f>(($A68*F$65*손익분기계산기!$B$54-손익분기계산기!$B$58-IF(입력값!$B$99="비례",MAX(0,($A68*손익분기계산기!$B$56+$A68*F$65*손익분기계산기!$B$57)-입력값!$B$96)/입력값!$B$98,ROUNDUP(MAX(0,($A68*손익분기계산기!$B$56+$A68*F$65*손익분기계산기!$B$57)-입력값!$B$96)/입력값!$B$98,0))*입력값!$B$100)-(MIN(MAX(0,($A68*F$65*손익분기계산기!$B$54-손익분기계산기!$B$58-IF(입력값!$B$99="비례",MAX(0,($A68*손익분기계산기!$B$56+$A68*F$65*손익분기계산기!$B$57)-입력값!$B$96)/입력값!$B$98,ROUNDUP(MAX(0,($A68*손익분기계산기!$B$56+$A68*F$65*손익분기계산기!$B$57)-입력값!$B$96)/입력값!$B$98,0))*입력값!$B$100)*12),입력값!$A$55)*입력값!$B$55+MAX(0,MIN(MAX(0,($A68*F$65*손익분기계산기!$B$54-손익분기계산기!$B$58-IF(입력값!$B$99="비례",MAX(0,($A68*손익분기계산기!$B$56+$A68*F$65*손익분기계산기!$B$57)-입력값!$B$96)/입력값!$B$98,ROUNDUP(MAX(0,($A68*손익분기계산기!$B$56+$A68*F$65*손익분기계산기!$B$57)-입력값!$B$96)/입력값!$B$98,0))*입력값!$B$100)*12),입력값!$A$56)-입력값!$A$55)*입력값!$B$56+MAX(0,MIN(MAX(0,($A68*F$65*손익분기계산기!$B$54-손익분기계산기!$B$58-IF(입력값!$B$99="비례",MAX(0,($A68*손익분기계산기!$B$56+$A68*F$65*손익분기계산기!$B$57)-입력값!$B$96)/입력값!$B$98,ROUNDUP(MAX(0,($A68*손익분기계산기!$B$56+$A68*F$65*손익분기계산기!$B$57)-입력값!$B$96)/입력값!$B$98,0))*입력값!$B$100)*12),입력값!$A$57)-입력값!$A$56)*입력값!$B$57+MAX(0,MAX(0,($A68*F$65*손익분기계산기!$B$54-손익분기계산기!$B$58-IF(입력값!$B$99="비례",MAX(0,($A68*손익분기계산기!$B$56+$A68*F$65*손익분기계산기!$B$57)-입력값!$B$96)/입력값!$B$98,ROUNDUP(MAX(0,($A68*손익분기계산기!$B$56+$A68*F$65*손익분기계산기!$B$57)-입력값!$B$96)/입력값!$B$98,0))*입력값!$B$100)*12)-입력값!$A$57)*입력값!$B$58)*(1+입력값!$B$59)*(1-입력값!$B$60)/12)-MAX(0,(($A68*F$65*손익분기계산기!$B$54-손익분기계산기!$B$58-IF(입력값!$B$99="비례",MAX(0,($A68*손익분기계산기!$B$56+$A68*F$65*손익분기계산기!$B$57)-입력값!$B$96)/입력값!$B$98,ROUNDUP(MAX(0,($A68*손익분기계산기!$B$56+$A68*F$65*손익분기계산기!$B$57)-입력값!$B$96)/입력값!$B$98,0))*입력값!$B$100)-(MIN(MAX(0,($A68*F$65*손익분기계산기!$B$54-손익분기계산기!$B$58-IF(입력값!$B$99="비례",MAX(0,($A68*손익분기계산기!$B$56+$A68*F$65*손익분기계산기!$B$57)-입력값!$B$96)/입력값!$B$98,ROUNDUP(MAX(0,($A68*손익분기계산기!$B$56+$A68*F$65*손익분기계산기!$B$57)-입력값!$B$96)/입력값!$B$98,0))*입력값!$B$100)*12),입력값!$A$55)*입력값!$B$55+MAX(0,MIN(MAX(0,($A68*F$65*손익분기계산기!$B$54-손익분기계산기!$B$58-IF(입력값!$B$99="비례",MAX(0,($A68*손익분기계산기!$B$56+$A68*F$65*손익분기계산기!$B$57)-입력값!$B$96)/입력값!$B$98,ROUNDUP(MAX(0,($A68*손익분기계산기!$B$56+$A68*F$65*손익분기계산기!$B$57)-입력값!$B$96)/입력값!$B$98,0))*입력값!$B$100)*12),입력값!$A$56)-입력값!$A$55)*입력값!$B$56+MAX(0,MIN(MAX(0,($A68*F$65*손익분기계산기!$B$54-손익분기계산기!$B$58-IF(입력값!$B$99="비례",MAX(0,($A68*손익분기계산기!$B$56+$A68*F$65*손익분기계산기!$B$57)-입력값!$B$96)/입력값!$B$98,ROUNDUP(MAX(0,($A68*손익분기계산기!$B$56+$A68*F$65*손익분기계산기!$B$57)-입력값!$B$96)/입력값!$B$98,0))*입력값!$B$100)*12),입력값!$A$57)-입력값!$A$56)*입력값!$B$57+MAX(0,MAX(0,($A68*F$65*손익분기계산기!$B$54-손익분기계산기!$B$58-IF(입력값!$B$99="비례",MAX(0,($A68*손익분기계산기!$B$56+$A68*F$65*손익분기계산기!$B$57)-입력값!$B$96)/입력값!$B$98,ROUNDUP(MAX(0,($A68*손익분기계산기!$B$56+$A68*F$65*손익분기계산기!$B$57)-입력값!$B$96)/입력값!$B$98,0))*입력값!$B$100)*12)-입력값!$A$57)*입력값!$B$58)*(1+입력값!$B$59)*(1-입력값!$B$60)/12))*입력값!$B$64</f>
        <v/>
      </c>
      <c r="G68" s="20">
        <f>(($A68*G$65*손익분기계산기!$B$54-손익분기계산기!$B$58-IF(입력값!$B$99="비례",MAX(0,($A68*손익분기계산기!$B$56+$A68*G$65*손익분기계산기!$B$57)-입력값!$B$96)/입력값!$B$98,ROUNDUP(MAX(0,($A68*손익분기계산기!$B$56+$A68*G$65*손익분기계산기!$B$57)-입력값!$B$96)/입력값!$B$98,0))*입력값!$B$100)-(MIN(MAX(0,($A68*G$65*손익분기계산기!$B$54-손익분기계산기!$B$58-IF(입력값!$B$99="비례",MAX(0,($A68*손익분기계산기!$B$56+$A68*G$65*손익분기계산기!$B$57)-입력값!$B$96)/입력값!$B$98,ROUNDUP(MAX(0,($A68*손익분기계산기!$B$56+$A68*G$65*손익분기계산기!$B$57)-입력값!$B$96)/입력값!$B$98,0))*입력값!$B$100)*12),입력값!$A$55)*입력값!$B$55+MAX(0,MIN(MAX(0,($A68*G$65*손익분기계산기!$B$54-손익분기계산기!$B$58-IF(입력값!$B$99="비례",MAX(0,($A68*손익분기계산기!$B$56+$A68*G$65*손익분기계산기!$B$57)-입력값!$B$96)/입력값!$B$98,ROUNDUP(MAX(0,($A68*손익분기계산기!$B$56+$A68*G$65*손익분기계산기!$B$57)-입력값!$B$96)/입력값!$B$98,0))*입력값!$B$100)*12),입력값!$A$56)-입력값!$A$55)*입력값!$B$56+MAX(0,MIN(MAX(0,($A68*G$65*손익분기계산기!$B$54-손익분기계산기!$B$58-IF(입력값!$B$99="비례",MAX(0,($A68*손익분기계산기!$B$56+$A68*G$65*손익분기계산기!$B$57)-입력값!$B$96)/입력값!$B$98,ROUNDUP(MAX(0,($A68*손익분기계산기!$B$56+$A68*G$65*손익분기계산기!$B$57)-입력값!$B$96)/입력값!$B$98,0))*입력값!$B$100)*12),입력값!$A$57)-입력값!$A$56)*입력값!$B$57+MAX(0,MAX(0,($A68*G$65*손익분기계산기!$B$54-손익분기계산기!$B$58-IF(입력값!$B$99="비례",MAX(0,($A68*손익분기계산기!$B$56+$A68*G$65*손익분기계산기!$B$57)-입력값!$B$96)/입력값!$B$98,ROUNDUP(MAX(0,($A68*손익분기계산기!$B$56+$A68*G$65*손익분기계산기!$B$57)-입력값!$B$96)/입력값!$B$98,0))*입력값!$B$100)*12)-입력값!$A$57)*입력값!$B$58)*(1+입력값!$B$59)*(1-입력값!$B$60)/12)-MAX(0,(($A68*G$65*손익분기계산기!$B$54-손익분기계산기!$B$58-IF(입력값!$B$99="비례",MAX(0,($A68*손익분기계산기!$B$56+$A68*G$65*손익분기계산기!$B$57)-입력값!$B$96)/입력값!$B$98,ROUNDUP(MAX(0,($A68*손익분기계산기!$B$56+$A68*G$65*손익분기계산기!$B$57)-입력값!$B$96)/입력값!$B$98,0))*입력값!$B$100)-(MIN(MAX(0,($A68*G$65*손익분기계산기!$B$54-손익분기계산기!$B$58-IF(입력값!$B$99="비례",MAX(0,($A68*손익분기계산기!$B$56+$A68*G$65*손익분기계산기!$B$57)-입력값!$B$96)/입력값!$B$98,ROUNDUP(MAX(0,($A68*손익분기계산기!$B$56+$A68*G$65*손익분기계산기!$B$57)-입력값!$B$96)/입력값!$B$98,0))*입력값!$B$100)*12),입력값!$A$55)*입력값!$B$55+MAX(0,MIN(MAX(0,($A68*G$65*손익분기계산기!$B$54-손익분기계산기!$B$58-IF(입력값!$B$99="비례",MAX(0,($A68*손익분기계산기!$B$56+$A68*G$65*손익분기계산기!$B$57)-입력값!$B$96)/입력값!$B$98,ROUNDUP(MAX(0,($A68*손익분기계산기!$B$56+$A68*G$65*손익분기계산기!$B$57)-입력값!$B$96)/입력값!$B$98,0))*입력값!$B$100)*12),입력값!$A$56)-입력값!$A$55)*입력값!$B$56+MAX(0,MIN(MAX(0,($A68*G$65*손익분기계산기!$B$54-손익분기계산기!$B$58-IF(입력값!$B$99="비례",MAX(0,($A68*손익분기계산기!$B$56+$A68*G$65*손익분기계산기!$B$57)-입력값!$B$96)/입력값!$B$98,ROUNDUP(MAX(0,($A68*손익분기계산기!$B$56+$A68*G$65*손익분기계산기!$B$57)-입력값!$B$96)/입력값!$B$98,0))*입력값!$B$100)*12),입력값!$A$57)-입력값!$A$56)*입력값!$B$57+MAX(0,MAX(0,($A68*G$65*손익분기계산기!$B$54-손익분기계산기!$B$58-IF(입력값!$B$99="비례",MAX(0,($A68*손익분기계산기!$B$56+$A68*G$65*손익분기계산기!$B$57)-입력값!$B$96)/입력값!$B$98,ROUNDUP(MAX(0,($A68*손익분기계산기!$B$56+$A68*G$65*손익분기계산기!$B$57)-입력값!$B$96)/입력값!$B$98,0))*입력값!$B$100)*12)-입력값!$A$57)*입력값!$B$58)*(1+입력값!$B$59)*(1-입력값!$B$60)/12))*입력값!$B$64</f>
        <v/>
      </c>
      <c r="H68" s="20">
        <f>(($A68*H$65*손익분기계산기!$B$54-손익분기계산기!$B$58-IF(입력값!$B$99="비례",MAX(0,($A68*손익분기계산기!$B$56+$A68*H$65*손익분기계산기!$B$57)-입력값!$B$96)/입력값!$B$98,ROUNDUP(MAX(0,($A68*손익분기계산기!$B$56+$A68*H$65*손익분기계산기!$B$57)-입력값!$B$96)/입력값!$B$98,0))*입력값!$B$100)-(MIN(MAX(0,($A68*H$65*손익분기계산기!$B$54-손익분기계산기!$B$58-IF(입력값!$B$99="비례",MAX(0,($A68*손익분기계산기!$B$56+$A68*H$65*손익분기계산기!$B$57)-입력값!$B$96)/입력값!$B$98,ROUNDUP(MAX(0,($A68*손익분기계산기!$B$56+$A68*H$65*손익분기계산기!$B$57)-입력값!$B$96)/입력값!$B$98,0))*입력값!$B$100)*12),입력값!$A$55)*입력값!$B$55+MAX(0,MIN(MAX(0,($A68*H$65*손익분기계산기!$B$54-손익분기계산기!$B$58-IF(입력값!$B$99="비례",MAX(0,($A68*손익분기계산기!$B$56+$A68*H$65*손익분기계산기!$B$57)-입력값!$B$96)/입력값!$B$98,ROUNDUP(MAX(0,($A68*손익분기계산기!$B$56+$A68*H$65*손익분기계산기!$B$57)-입력값!$B$96)/입력값!$B$98,0))*입력값!$B$100)*12),입력값!$A$56)-입력값!$A$55)*입력값!$B$56+MAX(0,MIN(MAX(0,($A68*H$65*손익분기계산기!$B$54-손익분기계산기!$B$58-IF(입력값!$B$99="비례",MAX(0,($A68*손익분기계산기!$B$56+$A68*H$65*손익분기계산기!$B$57)-입력값!$B$96)/입력값!$B$98,ROUNDUP(MAX(0,($A68*손익분기계산기!$B$56+$A68*H$65*손익분기계산기!$B$57)-입력값!$B$96)/입력값!$B$98,0))*입력값!$B$100)*12),입력값!$A$57)-입력값!$A$56)*입력값!$B$57+MAX(0,MAX(0,($A68*H$65*손익분기계산기!$B$54-손익분기계산기!$B$58-IF(입력값!$B$99="비례",MAX(0,($A68*손익분기계산기!$B$56+$A68*H$65*손익분기계산기!$B$57)-입력값!$B$96)/입력값!$B$98,ROUNDUP(MAX(0,($A68*손익분기계산기!$B$56+$A68*H$65*손익분기계산기!$B$57)-입력값!$B$96)/입력값!$B$98,0))*입력값!$B$100)*12)-입력값!$A$57)*입력값!$B$58)*(1+입력값!$B$59)*(1-입력값!$B$60)/12)-MAX(0,(($A68*H$65*손익분기계산기!$B$54-손익분기계산기!$B$58-IF(입력값!$B$99="비례",MAX(0,($A68*손익분기계산기!$B$56+$A68*H$65*손익분기계산기!$B$57)-입력값!$B$96)/입력값!$B$98,ROUNDUP(MAX(0,($A68*손익분기계산기!$B$56+$A68*H$65*손익분기계산기!$B$57)-입력값!$B$96)/입력값!$B$98,0))*입력값!$B$100)-(MIN(MAX(0,($A68*H$65*손익분기계산기!$B$54-손익분기계산기!$B$58-IF(입력값!$B$99="비례",MAX(0,($A68*손익분기계산기!$B$56+$A68*H$65*손익분기계산기!$B$57)-입력값!$B$96)/입력값!$B$98,ROUNDUP(MAX(0,($A68*손익분기계산기!$B$56+$A68*H$65*손익분기계산기!$B$57)-입력값!$B$96)/입력값!$B$98,0))*입력값!$B$100)*12),입력값!$A$55)*입력값!$B$55+MAX(0,MIN(MAX(0,($A68*H$65*손익분기계산기!$B$54-손익분기계산기!$B$58-IF(입력값!$B$99="비례",MAX(0,($A68*손익분기계산기!$B$56+$A68*H$65*손익분기계산기!$B$57)-입력값!$B$96)/입력값!$B$98,ROUNDUP(MAX(0,($A68*손익분기계산기!$B$56+$A68*H$65*손익분기계산기!$B$57)-입력값!$B$96)/입력값!$B$98,0))*입력값!$B$100)*12),입력값!$A$56)-입력값!$A$55)*입력값!$B$56+MAX(0,MIN(MAX(0,($A68*H$65*손익분기계산기!$B$54-손익분기계산기!$B$58-IF(입력값!$B$99="비례",MAX(0,($A68*손익분기계산기!$B$56+$A68*H$65*손익분기계산기!$B$57)-입력값!$B$96)/입력값!$B$98,ROUNDUP(MAX(0,($A68*손익분기계산기!$B$56+$A68*H$65*손익분기계산기!$B$57)-입력값!$B$96)/입력값!$B$98,0))*입력값!$B$100)*12),입력값!$A$57)-입력값!$A$56)*입력값!$B$57+MAX(0,MAX(0,($A68*H$65*손익분기계산기!$B$54-손익분기계산기!$B$58-IF(입력값!$B$99="비례",MAX(0,($A68*손익분기계산기!$B$56+$A68*H$65*손익분기계산기!$B$57)-입력값!$B$96)/입력값!$B$98,ROUNDUP(MAX(0,($A68*손익분기계산기!$B$56+$A68*H$65*손익분기계산기!$B$57)-입력값!$B$96)/입력값!$B$98,0))*입력값!$B$100)*12)-입력값!$A$57)*입력값!$B$58)*(1+입력값!$B$59)*(1-입력값!$B$60)/12))*입력값!$B$64</f>
        <v/>
      </c>
      <c r="I68" s="20">
        <f>(($A68*I$65*손익분기계산기!$B$54-손익분기계산기!$B$58-IF(입력값!$B$99="비례",MAX(0,($A68*손익분기계산기!$B$56+$A68*I$65*손익분기계산기!$B$57)-입력값!$B$96)/입력값!$B$98,ROUNDUP(MAX(0,($A68*손익분기계산기!$B$56+$A68*I$65*손익분기계산기!$B$57)-입력값!$B$96)/입력값!$B$98,0))*입력값!$B$100)-(MIN(MAX(0,($A68*I$65*손익분기계산기!$B$54-손익분기계산기!$B$58-IF(입력값!$B$99="비례",MAX(0,($A68*손익분기계산기!$B$56+$A68*I$65*손익분기계산기!$B$57)-입력값!$B$96)/입력값!$B$98,ROUNDUP(MAX(0,($A68*손익분기계산기!$B$56+$A68*I$65*손익분기계산기!$B$57)-입력값!$B$96)/입력값!$B$98,0))*입력값!$B$100)*12),입력값!$A$55)*입력값!$B$55+MAX(0,MIN(MAX(0,($A68*I$65*손익분기계산기!$B$54-손익분기계산기!$B$58-IF(입력값!$B$99="비례",MAX(0,($A68*손익분기계산기!$B$56+$A68*I$65*손익분기계산기!$B$57)-입력값!$B$96)/입력값!$B$98,ROUNDUP(MAX(0,($A68*손익분기계산기!$B$56+$A68*I$65*손익분기계산기!$B$57)-입력값!$B$96)/입력값!$B$98,0))*입력값!$B$100)*12),입력값!$A$56)-입력값!$A$55)*입력값!$B$56+MAX(0,MIN(MAX(0,($A68*I$65*손익분기계산기!$B$54-손익분기계산기!$B$58-IF(입력값!$B$99="비례",MAX(0,($A68*손익분기계산기!$B$56+$A68*I$65*손익분기계산기!$B$57)-입력값!$B$96)/입력값!$B$98,ROUNDUP(MAX(0,($A68*손익분기계산기!$B$56+$A68*I$65*손익분기계산기!$B$57)-입력값!$B$96)/입력값!$B$98,0))*입력값!$B$100)*12),입력값!$A$57)-입력값!$A$56)*입력값!$B$57+MAX(0,MAX(0,($A68*I$65*손익분기계산기!$B$54-손익분기계산기!$B$58-IF(입력값!$B$99="비례",MAX(0,($A68*손익분기계산기!$B$56+$A68*I$65*손익분기계산기!$B$57)-입력값!$B$96)/입력값!$B$98,ROUNDUP(MAX(0,($A68*손익분기계산기!$B$56+$A68*I$65*손익분기계산기!$B$57)-입력값!$B$96)/입력값!$B$98,0))*입력값!$B$100)*12)-입력값!$A$57)*입력값!$B$58)*(1+입력값!$B$59)*(1-입력값!$B$60)/12)-MAX(0,(($A68*I$65*손익분기계산기!$B$54-손익분기계산기!$B$58-IF(입력값!$B$99="비례",MAX(0,($A68*손익분기계산기!$B$56+$A68*I$65*손익분기계산기!$B$57)-입력값!$B$96)/입력값!$B$98,ROUNDUP(MAX(0,($A68*손익분기계산기!$B$56+$A68*I$65*손익분기계산기!$B$57)-입력값!$B$96)/입력값!$B$98,0))*입력값!$B$100)-(MIN(MAX(0,($A68*I$65*손익분기계산기!$B$54-손익분기계산기!$B$58-IF(입력값!$B$99="비례",MAX(0,($A68*손익분기계산기!$B$56+$A68*I$65*손익분기계산기!$B$57)-입력값!$B$96)/입력값!$B$98,ROUNDUP(MAX(0,($A68*손익분기계산기!$B$56+$A68*I$65*손익분기계산기!$B$57)-입력값!$B$96)/입력값!$B$98,0))*입력값!$B$100)*12),입력값!$A$55)*입력값!$B$55+MAX(0,MIN(MAX(0,($A68*I$65*손익분기계산기!$B$54-손익분기계산기!$B$58-IF(입력값!$B$99="비례",MAX(0,($A68*손익분기계산기!$B$56+$A68*I$65*손익분기계산기!$B$57)-입력값!$B$96)/입력값!$B$98,ROUNDUP(MAX(0,($A68*손익분기계산기!$B$56+$A68*I$65*손익분기계산기!$B$57)-입력값!$B$96)/입력값!$B$98,0))*입력값!$B$100)*12),입력값!$A$56)-입력값!$A$55)*입력값!$B$56+MAX(0,MIN(MAX(0,($A68*I$65*손익분기계산기!$B$54-손익분기계산기!$B$58-IF(입력값!$B$99="비례",MAX(0,($A68*손익분기계산기!$B$56+$A68*I$65*손익분기계산기!$B$57)-입력값!$B$96)/입력값!$B$98,ROUNDUP(MAX(0,($A68*손익분기계산기!$B$56+$A68*I$65*손익분기계산기!$B$57)-입력값!$B$96)/입력값!$B$98,0))*입력값!$B$100)*12),입력값!$A$57)-입력값!$A$56)*입력값!$B$57+MAX(0,MAX(0,($A68*I$65*손익분기계산기!$B$54-손익분기계산기!$B$58-IF(입력값!$B$99="비례",MAX(0,($A68*손익분기계산기!$B$56+$A68*I$65*손익분기계산기!$B$57)-입력값!$B$96)/입력값!$B$98,ROUNDUP(MAX(0,($A68*손익분기계산기!$B$56+$A68*I$65*손익분기계산기!$B$57)-입력값!$B$96)/입력값!$B$98,0))*입력값!$B$100)*12)-입력값!$A$57)*입력값!$B$58)*(1+입력값!$B$59)*(1-입력값!$B$60)/12))*입력값!$B$64</f>
        <v/>
      </c>
    </row>
    <row r="69">
      <c r="A69" s="24" t="n">
        <v>20</v>
      </c>
      <c r="B69" s="20">
        <f>(($A69*B$65*손익분기계산기!$B$54-손익분기계산기!$B$58-IF(입력값!$B$99="비례",MAX(0,($A69*손익분기계산기!$B$56+$A69*B$65*손익분기계산기!$B$57)-입력값!$B$96)/입력값!$B$98,ROUNDUP(MAX(0,($A69*손익분기계산기!$B$56+$A69*B$65*손익분기계산기!$B$57)-입력값!$B$96)/입력값!$B$98,0))*입력값!$B$100)-(MIN(MAX(0,($A69*B$65*손익분기계산기!$B$54-손익분기계산기!$B$58-IF(입력값!$B$99="비례",MAX(0,($A69*손익분기계산기!$B$56+$A69*B$65*손익분기계산기!$B$57)-입력값!$B$96)/입력값!$B$98,ROUNDUP(MAX(0,($A69*손익분기계산기!$B$56+$A69*B$65*손익분기계산기!$B$57)-입력값!$B$96)/입력값!$B$98,0))*입력값!$B$100)*12),입력값!$A$55)*입력값!$B$55+MAX(0,MIN(MAX(0,($A69*B$65*손익분기계산기!$B$54-손익분기계산기!$B$58-IF(입력값!$B$99="비례",MAX(0,($A69*손익분기계산기!$B$56+$A69*B$65*손익분기계산기!$B$57)-입력값!$B$96)/입력값!$B$98,ROUNDUP(MAX(0,($A69*손익분기계산기!$B$56+$A69*B$65*손익분기계산기!$B$57)-입력값!$B$96)/입력값!$B$98,0))*입력값!$B$100)*12),입력값!$A$56)-입력값!$A$55)*입력값!$B$56+MAX(0,MIN(MAX(0,($A69*B$65*손익분기계산기!$B$54-손익분기계산기!$B$58-IF(입력값!$B$99="비례",MAX(0,($A69*손익분기계산기!$B$56+$A69*B$65*손익분기계산기!$B$57)-입력값!$B$96)/입력값!$B$98,ROUNDUP(MAX(0,($A69*손익분기계산기!$B$56+$A69*B$65*손익분기계산기!$B$57)-입력값!$B$96)/입력값!$B$98,0))*입력값!$B$100)*12),입력값!$A$57)-입력값!$A$56)*입력값!$B$57+MAX(0,MAX(0,($A69*B$65*손익분기계산기!$B$54-손익분기계산기!$B$58-IF(입력값!$B$99="비례",MAX(0,($A69*손익분기계산기!$B$56+$A69*B$65*손익분기계산기!$B$57)-입력값!$B$96)/입력값!$B$98,ROUNDUP(MAX(0,($A69*손익분기계산기!$B$56+$A69*B$65*손익분기계산기!$B$57)-입력값!$B$96)/입력값!$B$98,0))*입력값!$B$100)*12)-입력값!$A$57)*입력값!$B$58)*(1+입력값!$B$59)*(1-입력값!$B$60)/12)-MAX(0,(($A69*B$65*손익분기계산기!$B$54-손익분기계산기!$B$58-IF(입력값!$B$99="비례",MAX(0,($A69*손익분기계산기!$B$56+$A69*B$65*손익분기계산기!$B$57)-입력값!$B$96)/입력값!$B$98,ROUNDUP(MAX(0,($A69*손익분기계산기!$B$56+$A69*B$65*손익분기계산기!$B$57)-입력값!$B$96)/입력값!$B$98,0))*입력값!$B$100)-(MIN(MAX(0,($A69*B$65*손익분기계산기!$B$54-손익분기계산기!$B$58-IF(입력값!$B$99="비례",MAX(0,($A69*손익분기계산기!$B$56+$A69*B$65*손익분기계산기!$B$57)-입력값!$B$96)/입력값!$B$98,ROUNDUP(MAX(0,($A69*손익분기계산기!$B$56+$A69*B$65*손익분기계산기!$B$57)-입력값!$B$96)/입력값!$B$98,0))*입력값!$B$100)*12),입력값!$A$55)*입력값!$B$55+MAX(0,MIN(MAX(0,($A69*B$65*손익분기계산기!$B$54-손익분기계산기!$B$58-IF(입력값!$B$99="비례",MAX(0,($A69*손익분기계산기!$B$56+$A69*B$65*손익분기계산기!$B$57)-입력값!$B$96)/입력값!$B$98,ROUNDUP(MAX(0,($A69*손익분기계산기!$B$56+$A69*B$65*손익분기계산기!$B$57)-입력값!$B$96)/입력값!$B$98,0))*입력값!$B$100)*12),입력값!$A$56)-입력값!$A$55)*입력값!$B$56+MAX(0,MIN(MAX(0,($A69*B$65*손익분기계산기!$B$54-손익분기계산기!$B$58-IF(입력값!$B$99="비례",MAX(0,($A69*손익분기계산기!$B$56+$A69*B$65*손익분기계산기!$B$57)-입력값!$B$96)/입력값!$B$98,ROUNDUP(MAX(0,($A69*손익분기계산기!$B$56+$A69*B$65*손익분기계산기!$B$57)-입력값!$B$96)/입력값!$B$98,0))*입력값!$B$100)*12),입력값!$A$57)-입력값!$A$56)*입력값!$B$57+MAX(0,MAX(0,($A69*B$65*손익분기계산기!$B$54-손익분기계산기!$B$58-IF(입력값!$B$99="비례",MAX(0,($A69*손익분기계산기!$B$56+$A69*B$65*손익분기계산기!$B$57)-입력값!$B$96)/입력값!$B$98,ROUNDUP(MAX(0,($A69*손익분기계산기!$B$56+$A69*B$65*손익분기계산기!$B$57)-입력값!$B$96)/입력값!$B$98,0))*입력값!$B$100)*12)-입력값!$A$57)*입력값!$B$58)*(1+입력값!$B$59)*(1-입력값!$B$60)/12))*입력값!$B$64</f>
        <v/>
      </c>
      <c r="C69" s="20">
        <f>(($A69*C$65*손익분기계산기!$B$54-손익분기계산기!$B$58-IF(입력값!$B$99="비례",MAX(0,($A69*손익분기계산기!$B$56+$A69*C$65*손익분기계산기!$B$57)-입력값!$B$96)/입력값!$B$98,ROUNDUP(MAX(0,($A69*손익분기계산기!$B$56+$A69*C$65*손익분기계산기!$B$57)-입력값!$B$96)/입력값!$B$98,0))*입력값!$B$100)-(MIN(MAX(0,($A69*C$65*손익분기계산기!$B$54-손익분기계산기!$B$58-IF(입력값!$B$99="비례",MAX(0,($A69*손익분기계산기!$B$56+$A69*C$65*손익분기계산기!$B$57)-입력값!$B$96)/입력값!$B$98,ROUNDUP(MAX(0,($A69*손익분기계산기!$B$56+$A69*C$65*손익분기계산기!$B$57)-입력값!$B$96)/입력값!$B$98,0))*입력값!$B$100)*12),입력값!$A$55)*입력값!$B$55+MAX(0,MIN(MAX(0,($A69*C$65*손익분기계산기!$B$54-손익분기계산기!$B$58-IF(입력값!$B$99="비례",MAX(0,($A69*손익분기계산기!$B$56+$A69*C$65*손익분기계산기!$B$57)-입력값!$B$96)/입력값!$B$98,ROUNDUP(MAX(0,($A69*손익분기계산기!$B$56+$A69*C$65*손익분기계산기!$B$57)-입력값!$B$96)/입력값!$B$98,0))*입력값!$B$100)*12),입력값!$A$56)-입력값!$A$55)*입력값!$B$56+MAX(0,MIN(MAX(0,($A69*C$65*손익분기계산기!$B$54-손익분기계산기!$B$58-IF(입력값!$B$99="비례",MAX(0,($A69*손익분기계산기!$B$56+$A69*C$65*손익분기계산기!$B$57)-입력값!$B$96)/입력값!$B$98,ROUNDUP(MAX(0,($A69*손익분기계산기!$B$56+$A69*C$65*손익분기계산기!$B$57)-입력값!$B$96)/입력값!$B$98,0))*입력값!$B$100)*12),입력값!$A$57)-입력값!$A$56)*입력값!$B$57+MAX(0,MAX(0,($A69*C$65*손익분기계산기!$B$54-손익분기계산기!$B$58-IF(입력값!$B$99="비례",MAX(0,($A69*손익분기계산기!$B$56+$A69*C$65*손익분기계산기!$B$57)-입력값!$B$96)/입력값!$B$98,ROUNDUP(MAX(0,($A69*손익분기계산기!$B$56+$A69*C$65*손익분기계산기!$B$57)-입력값!$B$96)/입력값!$B$98,0))*입력값!$B$100)*12)-입력값!$A$57)*입력값!$B$58)*(1+입력값!$B$59)*(1-입력값!$B$60)/12)-MAX(0,(($A69*C$65*손익분기계산기!$B$54-손익분기계산기!$B$58-IF(입력값!$B$99="비례",MAX(0,($A69*손익분기계산기!$B$56+$A69*C$65*손익분기계산기!$B$57)-입력값!$B$96)/입력값!$B$98,ROUNDUP(MAX(0,($A69*손익분기계산기!$B$56+$A69*C$65*손익분기계산기!$B$57)-입력값!$B$96)/입력값!$B$98,0))*입력값!$B$100)-(MIN(MAX(0,($A69*C$65*손익분기계산기!$B$54-손익분기계산기!$B$58-IF(입력값!$B$99="비례",MAX(0,($A69*손익분기계산기!$B$56+$A69*C$65*손익분기계산기!$B$57)-입력값!$B$96)/입력값!$B$98,ROUNDUP(MAX(0,($A69*손익분기계산기!$B$56+$A69*C$65*손익분기계산기!$B$57)-입력값!$B$96)/입력값!$B$98,0))*입력값!$B$100)*12),입력값!$A$55)*입력값!$B$55+MAX(0,MIN(MAX(0,($A69*C$65*손익분기계산기!$B$54-손익분기계산기!$B$58-IF(입력값!$B$99="비례",MAX(0,($A69*손익분기계산기!$B$56+$A69*C$65*손익분기계산기!$B$57)-입력값!$B$96)/입력값!$B$98,ROUNDUP(MAX(0,($A69*손익분기계산기!$B$56+$A69*C$65*손익분기계산기!$B$57)-입력값!$B$96)/입력값!$B$98,0))*입력값!$B$100)*12),입력값!$A$56)-입력값!$A$55)*입력값!$B$56+MAX(0,MIN(MAX(0,($A69*C$65*손익분기계산기!$B$54-손익분기계산기!$B$58-IF(입력값!$B$99="비례",MAX(0,($A69*손익분기계산기!$B$56+$A69*C$65*손익분기계산기!$B$57)-입력값!$B$96)/입력값!$B$98,ROUNDUP(MAX(0,($A69*손익분기계산기!$B$56+$A69*C$65*손익분기계산기!$B$57)-입력값!$B$96)/입력값!$B$98,0))*입력값!$B$100)*12),입력값!$A$57)-입력값!$A$56)*입력값!$B$57+MAX(0,MAX(0,($A69*C$65*손익분기계산기!$B$54-손익분기계산기!$B$58-IF(입력값!$B$99="비례",MAX(0,($A69*손익분기계산기!$B$56+$A69*C$65*손익분기계산기!$B$57)-입력값!$B$96)/입력값!$B$98,ROUNDUP(MAX(0,($A69*손익분기계산기!$B$56+$A69*C$65*손익분기계산기!$B$57)-입력값!$B$96)/입력값!$B$98,0))*입력값!$B$100)*12)-입력값!$A$57)*입력값!$B$58)*(1+입력값!$B$59)*(1-입력값!$B$60)/12))*입력값!$B$64</f>
        <v/>
      </c>
      <c r="D69" s="20">
        <f>(($A69*D$65*손익분기계산기!$B$54-손익분기계산기!$B$58-IF(입력값!$B$99="비례",MAX(0,($A69*손익분기계산기!$B$56+$A69*D$65*손익분기계산기!$B$57)-입력값!$B$96)/입력값!$B$98,ROUNDUP(MAX(0,($A69*손익분기계산기!$B$56+$A69*D$65*손익분기계산기!$B$57)-입력값!$B$96)/입력값!$B$98,0))*입력값!$B$100)-(MIN(MAX(0,($A69*D$65*손익분기계산기!$B$54-손익분기계산기!$B$58-IF(입력값!$B$99="비례",MAX(0,($A69*손익분기계산기!$B$56+$A69*D$65*손익분기계산기!$B$57)-입력값!$B$96)/입력값!$B$98,ROUNDUP(MAX(0,($A69*손익분기계산기!$B$56+$A69*D$65*손익분기계산기!$B$57)-입력값!$B$96)/입력값!$B$98,0))*입력값!$B$100)*12),입력값!$A$55)*입력값!$B$55+MAX(0,MIN(MAX(0,($A69*D$65*손익분기계산기!$B$54-손익분기계산기!$B$58-IF(입력값!$B$99="비례",MAX(0,($A69*손익분기계산기!$B$56+$A69*D$65*손익분기계산기!$B$57)-입력값!$B$96)/입력값!$B$98,ROUNDUP(MAX(0,($A69*손익분기계산기!$B$56+$A69*D$65*손익분기계산기!$B$57)-입력값!$B$96)/입력값!$B$98,0))*입력값!$B$100)*12),입력값!$A$56)-입력값!$A$55)*입력값!$B$56+MAX(0,MIN(MAX(0,($A69*D$65*손익분기계산기!$B$54-손익분기계산기!$B$58-IF(입력값!$B$99="비례",MAX(0,($A69*손익분기계산기!$B$56+$A69*D$65*손익분기계산기!$B$57)-입력값!$B$96)/입력값!$B$98,ROUNDUP(MAX(0,($A69*손익분기계산기!$B$56+$A69*D$65*손익분기계산기!$B$57)-입력값!$B$96)/입력값!$B$98,0))*입력값!$B$100)*12),입력값!$A$57)-입력값!$A$56)*입력값!$B$57+MAX(0,MAX(0,($A69*D$65*손익분기계산기!$B$54-손익분기계산기!$B$58-IF(입력값!$B$99="비례",MAX(0,($A69*손익분기계산기!$B$56+$A69*D$65*손익분기계산기!$B$57)-입력값!$B$96)/입력값!$B$98,ROUNDUP(MAX(0,($A69*손익분기계산기!$B$56+$A69*D$65*손익분기계산기!$B$57)-입력값!$B$96)/입력값!$B$98,0))*입력값!$B$100)*12)-입력값!$A$57)*입력값!$B$58)*(1+입력값!$B$59)*(1-입력값!$B$60)/12)-MAX(0,(($A69*D$65*손익분기계산기!$B$54-손익분기계산기!$B$58-IF(입력값!$B$99="비례",MAX(0,($A69*손익분기계산기!$B$56+$A69*D$65*손익분기계산기!$B$57)-입력값!$B$96)/입력값!$B$98,ROUNDUP(MAX(0,($A69*손익분기계산기!$B$56+$A69*D$65*손익분기계산기!$B$57)-입력값!$B$96)/입력값!$B$98,0))*입력값!$B$100)-(MIN(MAX(0,($A69*D$65*손익분기계산기!$B$54-손익분기계산기!$B$58-IF(입력값!$B$99="비례",MAX(0,($A69*손익분기계산기!$B$56+$A69*D$65*손익분기계산기!$B$57)-입력값!$B$96)/입력값!$B$98,ROUNDUP(MAX(0,($A69*손익분기계산기!$B$56+$A69*D$65*손익분기계산기!$B$57)-입력값!$B$96)/입력값!$B$98,0))*입력값!$B$100)*12),입력값!$A$55)*입력값!$B$55+MAX(0,MIN(MAX(0,($A69*D$65*손익분기계산기!$B$54-손익분기계산기!$B$58-IF(입력값!$B$99="비례",MAX(0,($A69*손익분기계산기!$B$56+$A69*D$65*손익분기계산기!$B$57)-입력값!$B$96)/입력값!$B$98,ROUNDUP(MAX(0,($A69*손익분기계산기!$B$56+$A69*D$65*손익분기계산기!$B$57)-입력값!$B$96)/입력값!$B$98,0))*입력값!$B$100)*12),입력값!$A$56)-입력값!$A$55)*입력값!$B$56+MAX(0,MIN(MAX(0,($A69*D$65*손익분기계산기!$B$54-손익분기계산기!$B$58-IF(입력값!$B$99="비례",MAX(0,($A69*손익분기계산기!$B$56+$A69*D$65*손익분기계산기!$B$57)-입력값!$B$96)/입력값!$B$98,ROUNDUP(MAX(0,($A69*손익분기계산기!$B$56+$A69*D$65*손익분기계산기!$B$57)-입력값!$B$96)/입력값!$B$98,0))*입력값!$B$100)*12),입력값!$A$57)-입력값!$A$56)*입력값!$B$57+MAX(0,MAX(0,($A69*D$65*손익분기계산기!$B$54-손익분기계산기!$B$58-IF(입력값!$B$99="비례",MAX(0,($A69*손익분기계산기!$B$56+$A69*D$65*손익분기계산기!$B$57)-입력값!$B$96)/입력값!$B$98,ROUNDUP(MAX(0,($A69*손익분기계산기!$B$56+$A69*D$65*손익분기계산기!$B$57)-입력값!$B$96)/입력값!$B$98,0))*입력값!$B$100)*12)-입력값!$A$57)*입력값!$B$58)*(1+입력값!$B$59)*(1-입력값!$B$60)/12))*입력값!$B$64</f>
        <v/>
      </c>
      <c r="E69" s="20">
        <f>(($A69*E$65*손익분기계산기!$B$54-손익분기계산기!$B$58-IF(입력값!$B$99="비례",MAX(0,($A69*손익분기계산기!$B$56+$A69*E$65*손익분기계산기!$B$57)-입력값!$B$96)/입력값!$B$98,ROUNDUP(MAX(0,($A69*손익분기계산기!$B$56+$A69*E$65*손익분기계산기!$B$57)-입력값!$B$96)/입력값!$B$98,0))*입력값!$B$100)-(MIN(MAX(0,($A69*E$65*손익분기계산기!$B$54-손익분기계산기!$B$58-IF(입력값!$B$99="비례",MAX(0,($A69*손익분기계산기!$B$56+$A69*E$65*손익분기계산기!$B$57)-입력값!$B$96)/입력값!$B$98,ROUNDUP(MAX(0,($A69*손익분기계산기!$B$56+$A69*E$65*손익분기계산기!$B$57)-입력값!$B$96)/입력값!$B$98,0))*입력값!$B$100)*12),입력값!$A$55)*입력값!$B$55+MAX(0,MIN(MAX(0,($A69*E$65*손익분기계산기!$B$54-손익분기계산기!$B$58-IF(입력값!$B$99="비례",MAX(0,($A69*손익분기계산기!$B$56+$A69*E$65*손익분기계산기!$B$57)-입력값!$B$96)/입력값!$B$98,ROUNDUP(MAX(0,($A69*손익분기계산기!$B$56+$A69*E$65*손익분기계산기!$B$57)-입력값!$B$96)/입력값!$B$98,0))*입력값!$B$100)*12),입력값!$A$56)-입력값!$A$55)*입력값!$B$56+MAX(0,MIN(MAX(0,($A69*E$65*손익분기계산기!$B$54-손익분기계산기!$B$58-IF(입력값!$B$99="비례",MAX(0,($A69*손익분기계산기!$B$56+$A69*E$65*손익분기계산기!$B$57)-입력값!$B$96)/입력값!$B$98,ROUNDUP(MAX(0,($A69*손익분기계산기!$B$56+$A69*E$65*손익분기계산기!$B$57)-입력값!$B$96)/입력값!$B$98,0))*입력값!$B$100)*12),입력값!$A$57)-입력값!$A$56)*입력값!$B$57+MAX(0,MAX(0,($A69*E$65*손익분기계산기!$B$54-손익분기계산기!$B$58-IF(입력값!$B$99="비례",MAX(0,($A69*손익분기계산기!$B$56+$A69*E$65*손익분기계산기!$B$57)-입력값!$B$96)/입력값!$B$98,ROUNDUP(MAX(0,($A69*손익분기계산기!$B$56+$A69*E$65*손익분기계산기!$B$57)-입력값!$B$96)/입력값!$B$98,0))*입력값!$B$100)*12)-입력값!$A$57)*입력값!$B$58)*(1+입력값!$B$59)*(1-입력값!$B$60)/12)-MAX(0,(($A69*E$65*손익분기계산기!$B$54-손익분기계산기!$B$58-IF(입력값!$B$99="비례",MAX(0,($A69*손익분기계산기!$B$56+$A69*E$65*손익분기계산기!$B$57)-입력값!$B$96)/입력값!$B$98,ROUNDUP(MAX(0,($A69*손익분기계산기!$B$56+$A69*E$65*손익분기계산기!$B$57)-입력값!$B$96)/입력값!$B$98,0))*입력값!$B$100)-(MIN(MAX(0,($A69*E$65*손익분기계산기!$B$54-손익분기계산기!$B$58-IF(입력값!$B$99="비례",MAX(0,($A69*손익분기계산기!$B$56+$A69*E$65*손익분기계산기!$B$57)-입력값!$B$96)/입력값!$B$98,ROUNDUP(MAX(0,($A69*손익분기계산기!$B$56+$A69*E$65*손익분기계산기!$B$57)-입력값!$B$96)/입력값!$B$98,0))*입력값!$B$100)*12),입력값!$A$55)*입력값!$B$55+MAX(0,MIN(MAX(0,($A69*E$65*손익분기계산기!$B$54-손익분기계산기!$B$58-IF(입력값!$B$99="비례",MAX(0,($A69*손익분기계산기!$B$56+$A69*E$65*손익분기계산기!$B$57)-입력값!$B$96)/입력값!$B$98,ROUNDUP(MAX(0,($A69*손익분기계산기!$B$56+$A69*E$65*손익분기계산기!$B$57)-입력값!$B$96)/입력값!$B$98,0))*입력값!$B$100)*12),입력값!$A$56)-입력값!$A$55)*입력값!$B$56+MAX(0,MIN(MAX(0,($A69*E$65*손익분기계산기!$B$54-손익분기계산기!$B$58-IF(입력값!$B$99="비례",MAX(0,($A69*손익분기계산기!$B$56+$A69*E$65*손익분기계산기!$B$57)-입력값!$B$96)/입력값!$B$98,ROUNDUP(MAX(0,($A69*손익분기계산기!$B$56+$A69*E$65*손익분기계산기!$B$57)-입력값!$B$96)/입력값!$B$98,0))*입력값!$B$100)*12),입력값!$A$57)-입력값!$A$56)*입력값!$B$57+MAX(0,MAX(0,($A69*E$65*손익분기계산기!$B$54-손익분기계산기!$B$58-IF(입력값!$B$99="비례",MAX(0,($A69*손익분기계산기!$B$56+$A69*E$65*손익분기계산기!$B$57)-입력값!$B$96)/입력값!$B$98,ROUNDUP(MAX(0,($A69*손익분기계산기!$B$56+$A69*E$65*손익분기계산기!$B$57)-입력값!$B$96)/입력값!$B$98,0))*입력값!$B$100)*12)-입력값!$A$57)*입력값!$B$58)*(1+입력값!$B$59)*(1-입력값!$B$60)/12))*입력값!$B$64</f>
        <v/>
      </c>
      <c r="F69" s="20">
        <f>(($A69*F$65*손익분기계산기!$B$54-손익분기계산기!$B$58-IF(입력값!$B$99="비례",MAX(0,($A69*손익분기계산기!$B$56+$A69*F$65*손익분기계산기!$B$57)-입력값!$B$96)/입력값!$B$98,ROUNDUP(MAX(0,($A69*손익분기계산기!$B$56+$A69*F$65*손익분기계산기!$B$57)-입력값!$B$96)/입력값!$B$98,0))*입력값!$B$100)-(MIN(MAX(0,($A69*F$65*손익분기계산기!$B$54-손익분기계산기!$B$58-IF(입력값!$B$99="비례",MAX(0,($A69*손익분기계산기!$B$56+$A69*F$65*손익분기계산기!$B$57)-입력값!$B$96)/입력값!$B$98,ROUNDUP(MAX(0,($A69*손익분기계산기!$B$56+$A69*F$65*손익분기계산기!$B$57)-입력값!$B$96)/입력값!$B$98,0))*입력값!$B$100)*12),입력값!$A$55)*입력값!$B$55+MAX(0,MIN(MAX(0,($A69*F$65*손익분기계산기!$B$54-손익분기계산기!$B$58-IF(입력값!$B$99="비례",MAX(0,($A69*손익분기계산기!$B$56+$A69*F$65*손익분기계산기!$B$57)-입력값!$B$96)/입력값!$B$98,ROUNDUP(MAX(0,($A69*손익분기계산기!$B$56+$A69*F$65*손익분기계산기!$B$57)-입력값!$B$96)/입력값!$B$98,0))*입력값!$B$100)*12),입력값!$A$56)-입력값!$A$55)*입력값!$B$56+MAX(0,MIN(MAX(0,($A69*F$65*손익분기계산기!$B$54-손익분기계산기!$B$58-IF(입력값!$B$99="비례",MAX(0,($A69*손익분기계산기!$B$56+$A69*F$65*손익분기계산기!$B$57)-입력값!$B$96)/입력값!$B$98,ROUNDUP(MAX(0,($A69*손익분기계산기!$B$56+$A69*F$65*손익분기계산기!$B$57)-입력값!$B$96)/입력값!$B$98,0))*입력값!$B$100)*12),입력값!$A$57)-입력값!$A$56)*입력값!$B$57+MAX(0,MAX(0,($A69*F$65*손익분기계산기!$B$54-손익분기계산기!$B$58-IF(입력값!$B$99="비례",MAX(0,($A69*손익분기계산기!$B$56+$A69*F$65*손익분기계산기!$B$57)-입력값!$B$96)/입력값!$B$98,ROUNDUP(MAX(0,($A69*손익분기계산기!$B$56+$A69*F$65*손익분기계산기!$B$57)-입력값!$B$96)/입력값!$B$98,0))*입력값!$B$100)*12)-입력값!$A$57)*입력값!$B$58)*(1+입력값!$B$59)*(1-입력값!$B$60)/12)-MAX(0,(($A69*F$65*손익분기계산기!$B$54-손익분기계산기!$B$58-IF(입력값!$B$99="비례",MAX(0,($A69*손익분기계산기!$B$56+$A69*F$65*손익분기계산기!$B$57)-입력값!$B$96)/입력값!$B$98,ROUNDUP(MAX(0,($A69*손익분기계산기!$B$56+$A69*F$65*손익분기계산기!$B$57)-입력값!$B$96)/입력값!$B$98,0))*입력값!$B$100)-(MIN(MAX(0,($A69*F$65*손익분기계산기!$B$54-손익분기계산기!$B$58-IF(입력값!$B$99="비례",MAX(0,($A69*손익분기계산기!$B$56+$A69*F$65*손익분기계산기!$B$57)-입력값!$B$96)/입력값!$B$98,ROUNDUP(MAX(0,($A69*손익분기계산기!$B$56+$A69*F$65*손익분기계산기!$B$57)-입력값!$B$96)/입력값!$B$98,0))*입력값!$B$100)*12),입력값!$A$55)*입력값!$B$55+MAX(0,MIN(MAX(0,($A69*F$65*손익분기계산기!$B$54-손익분기계산기!$B$58-IF(입력값!$B$99="비례",MAX(0,($A69*손익분기계산기!$B$56+$A69*F$65*손익분기계산기!$B$57)-입력값!$B$96)/입력값!$B$98,ROUNDUP(MAX(0,($A69*손익분기계산기!$B$56+$A69*F$65*손익분기계산기!$B$57)-입력값!$B$96)/입력값!$B$98,0))*입력값!$B$100)*12),입력값!$A$56)-입력값!$A$55)*입력값!$B$56+MAX(0,MIN(MAX(0,($A69*F$65*손익분기계산기!$B$54-손익분기계산기!$B$58-IF(입력값!$B$99="비례",MAX(0,($A69*손익분기계산기!$B$56+$A69*F$65*손익분기계산기!$B$57)-입력값!$B$96)/입력값!$B$98,ROUNDUP(MAX(0,($A69*손익분기계산기!$B$56+$A69*F$65*손익분기계산기!$B$57)-입력값!$B$96)/입력값!$B$98,0))*입력값!$B$100)*12),입력값!$A$57)-입력값!$A$56)*입력값!$B$57+MAX(0,MAX(0,($A69*F$65*손익분기계산기!$B$54-손익분기계산기!$B$58-IF(입력값!$B$99="비례",MAX(0,($A69*손익분기계산기!$B$56+$A69*F$65*손익분기계산기!$B$57)-입력값!$B$96)/입력값!$B$98,ROUNDUP(MAX(0,($A69*손익분기계산기!$B$56+$A69*F$65*손익분기계산기!$B$57)-입력값!$B$96)/입력값!$B$98,0))*입력값!$B$100)*12)-입력값!$A$57)*입력값!$B$58)*(1+입력값!$B$59)*(1-입력값!$B$60)/12))*입력값!$B$64</f>
        <v/>
      </c>
      <c r="G69" s="20">
        <f>(($A69*G$65*손익분기계산기!$B$54-손익분기계산기!$B$58-IF(입력값!$B$99="비례",MAX(0,($A69*손익분기계산기!$B$56+$A69*G$65*손익분기계산기!$B$57)-입력값!$B$96)/입력값!$B$98,ROUNDUP(MAX(0,($A69*손익분기계산기!$B$56+$A69*G$65*손익분기계산기!$B$57)-입력값!$B$96)/입력값!$B$98,0))*입력값!$B$100)-(MIN(MAX(0,($A69*G$65*손익분기계산기!$B$54-손익분기계산기!$B$58-IF(입력값!$B$99="비례",MAX(0,($A69*손익분기계산기!$B$56+$A69*G$65*손익분기계산기!$B$57)-입력값!$B$96)/입력값!$B$98,ROUNDUP(MAX(0,($A69*손익분기계산기!$B$56+$A69*G$65*손익분기계산기!$B$57)-입력값!$B$96)/입력값!$B$98,0))*입력값!$B$100)*12),입력값!$A$55)*입력값!$B$55+MAX(0,MIN(MAX(0,($A69*G$65*손익분기계산기!$B$54-손익분기계산기!$B$58-IF(입력값!$B$99="비례",MAX(0,($A69*손익분기계산기!$B$56+$A69*G$65*손익분기계산기!$B$57)-입력값!$B$96)/입력값!$B$98,ROUNDUP(MAX(0,($A69*손익분기계산기!$B$56+$A69*G$65*손익분기계산기!$B$57)-입력값!$B$96)/입력값!$B$98,0))*입력값!$B$100)*12),입력값!$A$56)-입력값!$A$55)*입력값!$B$56+MAX(0,MIN(MAX(0,($A69*G$65*손익분기계산기!$B$54-손익분기계산기!$B$58-IF(입력값!$B$99="비례",MAX(0,($A69*손익분기계산기!$B$56+$A69*G$65*손익분기계산기!$B$57)-입력값!$B$96)/입력값!$B$98,ROUNDUP(MAX(0,($A69*손익분기계산기!$B$56+$A69*G$65*손익분기계산기!$B$57)-입력값!$B$96)/입력값!$B$98,0))*입력값!$B$100)*12),입력값!$A$57)-입력값!$A$56)*입력값!$B$57+MAX(0,MAX(0,($A69*G$65*손익분기계산기!$B$54-손익분기계산기!$B$58-IF(입력값!$B$99="비례",MAX(0,($A69*손익분기계산기!$B$56+$A69*G$65*손익분기계산기!$B$57)-입력값!$B$96)/입력값!$B$98,ROUNDUP(MAX(0,($A69*손익분기계산기!$B$56+$A69*G$65*손익분기계산기!$B$57)-입력값!$B$96)/입력값!$B$98,0))*입력값!$B$100)*12)-입력값!$A$57)*입력값!$B$58)*(1+입력값!$B$59)*(1-입력값!$B$60)/12)-MAX(0,(($A69*G$65*손익분기계산기!$B$54-손익분기계산기!$B$58-IF(입력값!$B$99="비례",MAX(0,($A69*손익분기계산기!$B$56+$A69*G$65*손익분기계산기!$B$57)-입력값!$B$96)/입력값!$B$98,ROUNDUP(MAX(0,($A69*손익분기계산기!$B$56+$A69*G$65*손익분기계산기!$B$57)-입력값!$B$96)/입력값!$B$98,0))*입력값!$B$100)-(MIN(MAX(0,($A69*G$65*손익분기계산기!$B$54-손익분기계산기!$B$58-IF(입력값!$B$99="비례",MAX(0,($A69*손익분기계산기!$B$56+$A69*G$65*손익분기계산기!$B$57)-입력값!$B$96)/입력값!$B$98,ROUNDUP(MAX(0,($A69*손익분기계산기!$B$56+$A69*G$65*손익분기계산기!$B$57)-입력값!$B$96)/입력값!$B$98,0))*입력값!$B$100)*12),입력값!$A$55)*입력값!$B$55+MAX(0,MIN(MAX(0,($A69*G$65*손익분기계산기!$B$54-손익분기계산기!$B$58-IF(입력값!$B$99="비례",MAX(0,($A69*손익분기계산기!$B$56+$A69*G$65*손익분기계산기!$B$57)-입력값!$B$96)/입력값!$B$98,ROUNDUP(MAX(0,($A69*손익분기계산기!$B$56+$A69*G$65*손익분기계산기!$B$57)-입력값!$B$96)/입력값!$B$98,0))*입력값!$B$100)*12),입력값!$A$56)-입력값!$A$55)*입력값!$B$56+MAX(0,MIN(MAX(0,($A69*G$65*손익분기계산기!$B$54-손익분기계산기!$B$58-IF(입력값!$B$99="비례",MAX(0,($A69*손익분기계산기!$B$56+$A69*G$65*손익분기계산기!$B$57)-입력값!$B$96)/입력값!$B$98,ROUNDUP(MAX(0,($A69*손익분기계산기!$B$56+$A69*G$65*손익분기계산기!$B$57)-입력값!$B$96)/입력값!$B$98,0))*입력값!$B$100)*12),입력값!$A$57)-입력값!$A$56)*입력값!$B$57+MAX(0,MAX(0,($A69*G$65*손익분기계산기!$B$54-손익분기계산기!$B$58-IF(입력값!$B$99="비례",MAX(0,($A69*손익분기계산기!$B$56+$A69*G$65*손익분기계산기!$B$57)-입력값!$B$96)/입력값!$B$98,ROUNDUP(MAX(0,($A69*손익분기계산기!$B$56+$A69*G$65*손익분기계산기!$B$57)-입력값!$B$96)/입력값!$B$98,0))*입력값!$B$100)*12)-입력값!$A$57)*입력값!$B$58)*(1+입력값!$B$59)*(1-입력값!$B$60)/12))*입력값!$B$64</f>
        <v/>
      </c>
      <c r="H69" s="20">
        <f>(($A69*H$65*손익분기계산기!$B$54-손익분기계산기!$B$58-IF(입력값!$B$99="비례",MAX(0,($A69*손익분기계산기!$B$56+$A69*H$65*손익분기계산기!$B$57)-입력값!$B$96)/입력값!$B$98,ROUNDUP(MAX(0,($A69*손익분기계산기!$B$56+$A69*H$65*손익분기계산기!$B$57)-입력값!$B$96)/입력값!$B$98,0))*입력값!$B$100)-(MIN(MAX(0,($A69*H$65*손익분기계산기!$B$54-손익분기계산기!$B$58-IF(입력값!$B$99="비례",MAX(0,($A69*손익분기계산기!$B$56+$A69*H$65*손익분기계산기!$B$57)-입력값!$B$96)/입력값!$B$98,ROUNDUP(MAX(0,($A69*손익분기계산기!$B$56+$A69*H$65*손익분기계산기!$B$57)-입력값!$B$96)/입력값!$B$98,0))*입력값!$B$100)*12),입력값!$A$55)*입력값!$B$55+MAX(0,MIN(MAX(0,($A69*H$65*손익분기계산기!$B$54-손익분기계산기!$B$58-IF(입력값!$B$99="비례",MAX(0,($A69*손익분기계산기!$B$56+$A69*H$65*손익분기계산기!$B$57)-입력값!$B$96)/입력값!$B$98,ROUNDUP(MAX(0,($A69*손익분기계산기!$B$56+$A69*H$65*손익분기계산기!$B$57)-입력값!$B$96)/입력값!$B$98,0))*입력값!$B$100)*12),입력값!$A$56)-입력값!$A$55)*입력값!$B$56+MAX(0,MIN(MAX(0,($A69*H$65*손익분기계산기!$B$54-손익분기계산기!$B$58-IF(입력값!$B$99="비례",MAX(0,($A69*손익분기계산기!$B$56+$A69*H$65*손익분기계산기!$B$57)-입력값!$B$96)/입력값!$B$98,ROUNDUP(MAX(0,($A69*손익분기계산기!$B$56+$A69*H$65*손익분기계산기!$B$57)-입력값!$B$96)/입력값!$B$98,0))*입력값!$B$100)*12),입력값!$A$57)-입력값!$A$56)*입력값!$B$57+MAX(0,MAX(0,($A69*H$65*손익분기계산기!$B$54-손익분기계산기!$B$58-IF(입력값!$B$99="비례",MAX(0,($A69*손익분기계산기!$B$56+$A69*H$65*손익분기계산기!$B$57)-입력값!$B$96)/입력값!$B$98,ROUNDUP(MAX(0,($A69*손익분기계산기!$B$56+$A69*H$65*손익분기계산기!$B$57)-입력값!$B$96)/입력값!$B$98,0))*입력값!$B$100)*12)-입력값!$A$57)*입력값!$B$58)*(1+입력값!$B$59)*(1-입력값!$B$60)/12)-MAX(0,(($A69*H$65*손익분기계산기!$B$54-손익분기계산기!$B$58-IF(입력값!$B$99="비례",MAX(0,($A69*손익분기계산기!$B$56+$A69*H$65*손익분기계산기!$B$57)-입력값!$B$96)/입력값!$B$98,ROUNDUP(MAX(0,($A69*손익분기계산기!$B$56+$A69*H$65*손익분기계산기!$B$57)-입력값!$B$96)/입력값!$B$98,0))*입력값!$B$100)-(MIN(MAX(0,($A69*H$65*손익분기계산기!$B$54-손익분기계산기!$B$58-IF(입력값!$B$99="비례",MAX(0,($A69*손익분기계산기!$B$56+$A69*H$65*손익분기계산기!$B$57)-입력값!$B$96)/입력값!$B$98,ROUNDUP(MAX(0,($A69*손익분기계산기!$B$56+$A69*H$65*손익분기계산기!$B$57)-입력값!$B$96)/입력값!$B$98,0))*입력값!$B$100)*12),입력값!$A$55)*입력값!$B$55+MAX(0,MIN(MAX(0,($A69*H$65*손익분기계산기!$B$54-손익분기계산기!$B$58-IF(입력값!$B$99="비례",MAX(0,($A69*손익분기계산기!$B$56+$A69*H$65*손익분기계산기!$B$57)-입력값!$B$96)/입력값!$B$98,ROUNDUP(MAX(0,($A69*손익분기계산기!$B$56+$A69*H$65*손익분기계산기!$B$57)-입력값!$B$96)/입력값!$B$98,0))*입력값!$B$100)*12),입력값!$A$56)-입력값!$A$55)*입력값!$B$56+MAX(0,MIN(MAX(0,($A69*H$65*손익분기계산기!$B$54-손익분기계산기!$B$58-IF(입력값!$B$99="비례",MAX(0,($A69*손익분기계산기!$B$56+$A69*H$65*손익분기계산기!$B$57)-입력값!$B$96)/입력값!$B$98,ROUNDUP(MAX(0,($A69*손익분기계산기!$B$56+$A69*H$65*손익분기계산기!$B$57)-입력값!$B$96)/입력값!$B$98,0))*입력값!$B$100)*12),입력값!$A$57)-입력값!$A$56)*입력값!$B$57+MAX(0,MAX(0,($A69*H$65*손익분기계산기!$B$54-손익분기계산기!$B$58-IF(입력값!$B$99="비례",MAX(0,($A69*손익분기계산기!$B$56+$A69*H$65*손익분기계산기!$B$57)-입력값!$B$96)/입력값!$B$98,ROUNDUP(MAX(0,($A69*손익분기계산기!$B$56+$A69*H$65*손익분기계산기!$B$57)-입력값!$B$96)/입력값!$B$98,0))*입력값!$B$100)*12)-입력값!$A$57)*입력값!$B$58)*(1+입력값!$B$59)*(1-입력값!$B$60)/12))*입력값!$B$64</f>
        <v/>
      </c>
      <c r="I69" s="20">
        <f>(($A69*I$65*손익분기계산기!$B$54-손익분기계산기!$B$58-IF(입력값!$B$99="비례",MAX(0,($A69*손익분기계산기!$B$56+$A69*I$65*손익분기계산기!$B$57)-입력값!$B$96)/입력값!$B$98,ROUNDUP(MAX(0,($A69*손익분기계산기!$B$56+$A69*I$65*손익분기계산기!$B$57)-입력값!$B$96)/입력값!$B$98,0))*입력값!$B$100)-(MIN(MAX(0,($A69*I$65*손익분기계산기!$B$54-손익분기계산기!$B$58-IF(입력값!$B$99="비례",MAX(0,($A69*손익분기계산기!$B$56+$A69*I$65*손익분기계산기!$B$57)-입력값!$B$96)/입력값!$B$98,ROUNDUP(MAX(0,($A69*손익분기계산기!$B$56+$A69*I$65*손익분기계산기!$B$57)-입력값!$B$96)/입력값!$B$98,0))*입력값!$B$100)*12),입력값!$A$55)*입력값!$B$55+MAX(0,MIN(MAX(0,($A69*I$65*손익분기계산기!$B$54-손익분기계산기!$B$58-IF(입력값!$B$99="비례",MAX(0,($A69*손익분기계산기!$B$56+$A69*I$65*손익분기계산기!$B$57)-입력값!$B$96)/입력값!$B$98,ROUNDUP(MAX(0,($A69*손익분기계산기!$B$56+$A69*I$65*손익분기계산기!$B$57)-입력값!$B$96)/입력값!$B$98,0))*입력값!$B$100)*12),입력값!$A$56)-입력값!$A$55)*입력값!$B$56+MAX(0,MIN(MAX(0,($A69*I$65*손익분기계산기!$B$54-손익분기계산기!$B$58-IF(입력값!$B$99="비례",MAX(0,($A69*손익분기계산기!$B$56+$A69*I$65*손익분기계산기!$B$57)-입력값!$B$96)/입력값!$B$98,ROUNDUP(MAX(0,($A69*손익분기계산기!$B$56+$A69*I$65*손익분기계산기!$B$57)-입력값!$B$96)/입력값!$B$98,0))*입력값!$B$100)*12),입력값!$A$57)-입력값!$A$56)*입력값!$B$57+MAX(0,MAX(0,($A69*I$65*손익분기계산기!$B$54-손익분기계산기!$B$58-IF(입력값!$B$99="비례",MAX(0,($A69*손익분기계산기!$B$56+$A69*I$65*손익분기계산기!$B$57)-입력값!$B$96)/입력값!$B$98,ROUNDUP(MAX(0,($A69*손익분기계산기!$B$56+$A69*I$65*손익분기계산기!$B$57)-입력값!$B$96)/입력값!$B$98,0))*입력값!$B$100)*12)-입력값!$A$57)*입력값!$B$58)*(1+입력값!$B$59)*(1-입력값!$B$60)/12)-MAX(0,(($A69*I$65*손익분기계산기!$B$54-손익분기계산기!$B$58-IF(입력값!$B$99="비례",MAX(0,($A69*손익분기계산기!$B$56+$A69*I$65*손익분기계산기!$B$57)-입력값!$B$96)/입력값!$B$98,ROUNDUP(MAX(0,($A69*손익분기계산기!$B$56+$A69*I$65*손익분기계산기!$B$57)-입력값!$B$96)/입력값!$B$98,0))*입력값!$B$100)-(MIN(MAX(0,($A69*I$65*손익분기계산기!$B$54-손익분기계산기!$B$58-IF(입력값!$B$99="비례",MAX(0,($A69*손익분기계산기!$B$56+$A69*I$65*손익분기계산기!$B$57)-입력값!$B$96)/입력값!$B$98,ROUNDUP(MAX(0,($A69*손익분기계산기!$B$56+$A69*I$65*손익분기계산기!$B$57)-입력값!$B$96)/입력값!$B$98,0))*입력값!$B$100)*12),입력값!$A$55)*입력값!$B$55+MAX(0,MIN(MAX(0,($A69*I$65*손익분기계산기!$B$54-손익분기계산기!$B$58-IF(입력값!$B$99="비례",MAX(0,($A69*손익분기계산기!$B$56+$A69*I$65*손익분기계산기!$B$57)-입력값!$B$96)/입력값!$B$98,ROUNDUP(MAX(0,($A69*손익분기계산기!$B$56+$A69*I$65*손익분기계산기!$B$57)-입력값!$B$96)/입력값!$B$98,0))*입력값!$B$100)*12),입력값!$A$56)-입력값!$A$55)*입력값!$B$56+MAX(0,MIN(MAX(0,($A69*I$65*손익분기계산기!$B$54-손익분기계산기!$B$58-IF(입력값!$B$99="비례",MAX(0,($A69*손익분기계산기!$B$56+$A69*I$65*손익분기계산기!$B$57)-입력값!$B$96)/입력값!$B$98,ROUNDUP(MAX(0,($A69*손익분기계산기!$B$56+$A69*I$65*손익분기계산기!$B$57)-입력값!$B$96)/입력값!$B$98,0))*입력값!$B$100)*12),입력값!$A$57)-입력값!$A$56)*입력값!$B$57+MAX(0,MAX(0,($A69*I$65*손익분기계산기!$B$54-손익분기계산기!$B$58-IF(입력값!$B$99="비례",MAX(0,($A69*손익분기계산기!$B$56+$A69*I$65*손익분기계산기!$B$57)-입력값!$B$96)/입력값!$B$98,ROUNDUP(MAX(0,($A69*손익분기계산기!$B$56+$A69*I$65*손익분기계산기!$B$57)-입력값!$B$96)/입력값!$B$98,0))*입력값!$B$100)*12)-입력값!$A$57)*입력값!$B$58)*(1+입력값!$B$59)*(1-입력값!$B$60)/12))*입력값!$B$64</f>
        <v/>
      </c>
    </row>
    <row r="70">
      <c r="A70" s="24" t="n">
        <v>25</v>
      </c>
      <c r="B70" s="20">
        <f>(($A70*B$65*손익분기계산기!$B$54-손익분기계산기!$B$58-IF(입력값!$B$99="비례",MAX(0,($A70*손익분기계산기!$B$56+$A70*B$65*손익분기계산기!$B$57)-입력값!$B$96)/입력값!$B$98,ROUNDUP(MAX(0,($A70*손익분기계산기!$B$56+$A70*B$65*손익분기계산기!$B$57)-입력값!$B$96)/입력값!$B$98,0))*입력값!$B$100)-(MIN(MAX(0,($A70*B$65*손익분기계산기!$B$54-손익분기계산기!$B$58-IF(입력값!$B$99="비례",MAX(0,($A70*손익분기계산기!$B$56+$A70*B$65*손익분기계산기!$B$57)-입력값!$B$96)/입력값!$B$98,ROUNDUP(MAX(0,($A70*손익분기계산기!$B$56+$A70*B$65*손익분기계산기!$B$57)-입력값!$B$96)/입력값!$B$98,0))*입력값!$B$100)*12),입력값!$A$55)*입력값!$B$55+MAX(0,MIN(MAX(0,($A70*B$65*손익분기계산기!$B$54-손익분기계산기!$B$58-IF(입력값!$B$99="비례",MAX(0,($A70*손익분기계산기!$B$56+$A70*B$65*손익분기계산기!$B$57)-입력값!$B$96)/입력값!$B$98,ROUNDUP(MAX(0,($A70*손익분기계산기!$B$56+$A70*B$65*손익분기계산기!$B$57)-입력값!$B$96)/입력값!$B$98,0))*입력값!$B$100)*12),입력값!$A$56)-입력값!$A$55)*입력값!$B$56+MAX(0,MIN(MAX(0,($A70*B$65*손익분기계산기!$B$54-손익분기계산기!$B$58-IF(입력값!$B$99="비례",MAX(0,($A70*손익분기계산기!$B$56+$A70*B$65*손익분기계산기!$B$57)-입력값!$B$96)/입력값!$B$98,ROUNDUP(MAX(0,($A70*손익분기계산기!$B$56+$A70*B$65*손익분기계산기!$B$57)-입력값!$B$96)/입력값!$B$98,0))*입력값!$B$100)*12),입력값!$A$57)-입력값!$A$56)*입력값!$B$57+MAX(0,MAX(0,($A70*B$65*손익분기계산기!$B$54-손익분기계산기!$B$58-IF(입력값!$B$99="비례",MAX(0,($A70*손익분기계산기!$B$56+$A70*B$65*손익분기계산기!$B$57)-입력값!$B$96)/입력값!$B$98,ROUNDUP(MAX(0,($A70*손익분기계산기!$B$56+$A70*B$65*손익분기계산기!$B$57)-입력값!$B$96)/입력값!$B$98,0))*입력값!$B$100)*12)-입력값!$A$57)*입력값!$B$58)*(1+입력값!$B$59)*(1-입력값!$B$60)/12)-MAX(0,(($A70*B$65*손익분기계산기!$B$54-손익분기계산기!$B$58-IF(입력값!$B$99="비례",MAX(0,($A70*손익분기계산기!$B$56+$A70*B$65*손익분기계산기!$B$57)-입력값!$B$96)/입력값!$B$98,ROUNDUP(MAX(0,($A70*손익분기계산기!$B$56+$A70*B$65*손익분기계산기!$B$57)-입력값!$B$96)/입력값!$B$98,0))*입력값!$B$100)-(MIN(MAX(0,($A70*B$65*손익분기계산기!$B$54-손익분기계산기!$B$58-IF(입력값!$B$99="비례",MAX(0,($A70*손익분기계산기!$B$56+$A70*B$65*손익분기계산기!$B$57)-입력값!$B$96)/입력값!$B$98,ROUNDUP(MAX(0,($A70*손익분기계산기!$B$56+$A70*B$65*손익분기계산기!$B$57)-입력값!$B$96)/입력값!$B$98,0))*입력값!$B$100)*12),입력값!$A$55)*입력값!$B$55+MAX(0,MIN(MAX(0,($A70*B$65*손익분기계산기!$B$54-손익분기계산기!$B$58-IF(입력값!$B$99="비례",MAX(0,($A70*손익분기계산기!$B$56+$A70*B$65*손익분기계산기!$B$57)-입력값!$B$96)/입력값!$B$98,ROUNDUP(MAX(0,($A70*손익분기계산기!$B$56+$A70*B$65*손익분기계산기!$B$57)-입력값!$B$96)/입력값!$B$98,0))*입력값!$B$100)*12),입력값!$A$56)-입력값!$A$55)*입력값!$B$56+MAX(0,MIN(MAX(0,($A70*B$65*손익분기계산기!$B$54-손익분기계산기!$B$58-IF(입력값!$B$99="비례",MAX(0,($A70*손익분기계산기!$B$56+$A70*B$65*손익분기계산기!$B$57)-입력값!$B$96)/입력값!$B$98,ROUNDUP(MAX(0,($A70*손익분기계산기!$B$56+$A70*B$65*손익분기계산기!$B$57)-입력값!$B$96)/입력값!$B$98,0))*입력값!$B$100)*12),입력값!$A$57)-입력값!$A$56)*입력값!$B$57+MAX(0,MAX(0,($A70*B$65*손익분기계산기!$B$54-손익분기계산기!$B$58-IF(입력값!$B$99="비례",MAX(0,($A70*손익분기계산기!$B$56+$A70*B$65*손익분기계산기!$B$57)-입력값!$B$96)/입력값!$B$98,ROUNDUP(MAX(0,($A70*손익분기계산기!$B$56+$A70*B$65*손익분기계산기!$B$57)-입력값!$B$96)/입력값!$B$98,0))*입력값!$B$100)*12)-입력값!$A$57)*입력값!$B$58)*(1+입력값!$B$59)*(1-입력값!$B$60)/12))*입력값!$B$64</f>
        <v/>
      </c>
      <c r="C70" s="20">
        <f>(($A70*C$65*손익분기계산기!$B$54-손익분기계산기!$B$58-IF(입력값!$B$99="비례",MAX(0,($A70*손익분기계산기!$B$56+$A70*C$65*손익분기계산기!$B$57)-입력값!$B$96)/입력값!$B$98,ROUNDUP(MAX(0,($A70*손익분기계산기!$B$56+$A70*C$65*손익분기계산기!$B$57)-입력값!$B$96)/입력값!$B$98,0))*입력값!$B$100)-(MIN(MAX(0,($A70*C$65*손익분기계산기!$B$54-손익분기계산기!$B$58-IF(입력값!$B$99="비례",MAX(0,($A70*손익분기계산기!$B$56+$A70*C$65*손익분기계산기!$B$57)-입력값!$B$96)/입력값!$B$98,ROUNDUP(MAX(0,($A70*손익분기계산기!$B$56+$A70*C$65*손익분기계산기!$B$57)-입력값!$B$96)/입력값!$B$98,0))*입력값!$B$100)*12),입력값!$A$55)*입력값!$B$55+MAX(0,MIN(MAX(0,($A70*C$65*손익분기계산기!$B$54-손익분기계산기!$B$58-IF(입력값!$B$99="비례",MAX(0,($A70*손익분기계산기!$B$56+$A70*C$65*손익분기계산기!$B$57)-입력값!$B$96)/입력값!$B$98,ROUNDUP(MAX(0,($A70*손익분기계산기!$B$56+$A70*C$65*손익분기계산기!$B$57)-입력값!$B$96)/입력값!$B$98,0))*입력값!$B$100)*12),입력값!$A$56)-입력값!$A$55)*입력값!$B$56+MAX(0,MIN(MAX(0,($A70*C$65*손익분기계산기!$B$54-손익분기계산기!$B$58-IF(입력값!$B$99="비례",MAX(0,($A70*손익분기계산기!$B$56+$A70*C$65*손익분기계산기!$B$57)-입력값!$B$96)/입력값!$B$98,ROUNDUP(MAX(0,($A70*손익분기계산기!$B$56+$A70*C$65*손익분기계산기!$B$57)-입력값!$B$96)/입력값!$B$98,0))*입력값!$B$100)*12),입력값!$A$57)-입력값!$A$56)*입력값!$B$57+MAX(0,MAX(0,($A70*C$65*손익분기계산기!$B$54-손익분기계산기!$B$58-IF(입력값!$B$99="비례",MAX(0,($A70*손익분기계산기!$B$56+$A70*C$65*손익분기계산기!$B$57)-입력값!$B$96)/입력값!$B$98,ROUNDUP(MAX(0,($A70*손익분기계산기!$B$56+$A70*C$65*손익분기계산기!$B$57)-입력값!$B$96)/입력값!$B$98,0))*입력값!$B$100)*12)-입력값!$A$57)*입력값!$B$58)*(1+입력값!$B$59)*(1-입력값!$B$60)/12)-MAX(0,(($A70*C$65*손익분기계산기!$B$54-손익분기계산기!$B$58-IF(입력값!$B$99="비례",MAX(0,($A70*손익분기계산기!$B$56+$A70*C$65*손익분기계산기!$B$57)-입력값!$B$96)/입력값!$B$98,ROUNDUP(MAX(0,($A70*손익분기계산기!$B$56+$A70*C$65*손익분기계산기!$B$57)-입력값!$B$96)/입력값!$B$98,0))*입력값!$B$100)-(MIN(MAX(0,($A70*C$65*손익분기계산기!$B$54-손익분기계산기!$B$58-IF(입력값!$B$99="비례",MAX(0,($A70*손익분기계산기!$B$56+$A70*C$65*손익분기계산기!$B$57)-입력값!$B$96)/입력값!$B$98,ROUNDUP(MAX(0,($A70*손익분기계산기!$B$56+$A70*C$65*손익분기계산기!$B$57)-입력값!$B$96)/입력값!$B$98,0))*입력값!$B$100)*12),입력값!$A$55)*입력값!$B$55+MAX(0,MIN(MAX(0,($A70*C$65*손익분기계산기!$B$54-손익분기계산기!$B$58-IF(입력값!$B$99="비례",MAX(0,($A70*손익분기계산기!$B$56+$A70*C$65*손익분기계산기!$B$57)-입력값!$B$96)/입력값!$B$98,ROUNDUP(MAX(0,($A70*손익분기계산기!$B$56+$A70*C$65*손익분기계산기!$B$57)-입력값!$B$96)/입력값!$B$98,0))*입력값!$B$100)*12),입력값!$A$56)-입력값!$A$55)*입력값!$B$56+MAX(0,MIN(MAX(0,($A70*C$65*손익분기계산기!$B$54-손익분기계산기!$B$58-IF(입력값!$B$99="비례",MAX(0,($A70*손익분기계산기!$B$56+$A70*C$65*손익분기계산기!$B$57)-입력값!$B$96)/입력값!$B$98,ROUNDUP(MAX(0,($A70*손익분기계산기!$B$56+$A70*C$65*손익분기계산기!$B$57)-입력값!$B$96)/입력값!$B$98,0))*입력값!$B$100)*12),입력값!$A$57)-입력값!$A$56)*입력값!$B$57+MAX(0,MAX(0,($A70*C$65*손익분기계산기!$B$54-손익분기계산기!$B$58-IF(입력값!$B$99="비례",MAX(0,($A70*손익분기계산기!$B$56+$A70*C$65*손익분기계산기!$B$57)-입력값!$B$96)/입력값!$B$98,ROUNDUP(MAX(0,($A70*손익분기계산기!$B$56+$A70*C$65*손익분기계산기!$B$57)-입력값!$B$96)/입력값!$B$98,0))*입력값!$B$100)*12)-입력값!$A$57)*입력값!$B$58)*(1+입력값!$B$59)*(1-입력값!$B$60)/12))*입력값!$B$64</f>
        <v/>
      </c>
      <c r="D70" s="20">
        <f>(($A70*D$65*손익분기계산기!$B$54-손익분기계산기!$B$58-IF(입력값!$B$99="비례",MAX(0,($A70*손익분기계산기!$B$56+$A70*D$65*손익분기계산기!$B$57)-입력값!$B$96)/입력값!$B$98,ROUNDUP(MAX(0,($A70*손익분기계산기!$B$56+$A70*D$65*손익분기계산기!$B$57)-입력값!$B$96)/입력값!$B$98,0))*입력값!$B$100)-(MIN(MAX(0,($A70*D$65*손익분기계산기!$B$54-손익분기계산기!$B$58-IF(입력값!$B$99="비례",MAX(0,($A70*손익분기계산기!$B$56+$A70*D$65*손익분기계산기!$B$57)-입력값!$B$96)/입력값!$B$98,ROUNDUP(MAX(0,($A70*손익분기계산기!$B$56+$A70*D$65*손익분기계산기!$B$57)-입력값!$B$96)/입력값!$B$98,0))*입력값!$B$100)*12),입력값!$A$55)*입력값!$B$55+MAX(0,MIN(MAX(0,($A70*D$65*손익분기계산기!$B$54-손익분기계산기!$B$58-IF(입력값!$B$99="비례",MAX(0,($A70*손익분기계산기!$B$56+$A70*D$65*손익분기계산기!$B$57)-입력값!$B$96)/입력값!$B$98,ROUNDUP(MAX(0,($A70*손익분기계산기!$B$56+$A70*D$65*손익분기계산기!$B$57)-입력값!$B$96)/입력값!$B$98,0))*입력값!$B$100)*12),입력값!$A$56)-입력값!$A$55)*입력값!$B$56+MAX(0,MIN(MAX(0,($A70*D$65*손익분기계산기!$B$54-손익분기계산기!$B$58-IF(입력값!$B$99="비례",MAX(0,($A70*손익분기계산기!$B$56+$A70*D$65*손익분기계산기!$B$57)-입력값!$B$96)/입력값!$B$98,ROUNDUP(MAX(0,($A70*손익분기계산기!$B$56+$A70*D$65*손익분기계산기!$B$57)-입력값!$B$96)/입력값!$B$98,0))*입력값!$B$100)*12),입력값!$A$57)-입력값!$A$56)*입력값!$B$57+MAX(0,MAX(0,($A70*D$65*손익분기계산기!$B$54-손익분기계산기!$B$58-IF(입력값!$B$99="비례",MAX(0,($A70*손익분기계산기!$B$56+$A70*D$65*손익분기계산기!$B$57)-입력값!$B$96)/입력값!$B$98,ROUNDUP(MAX(0,($A70*손익분기계산기!$B$56+$A70*D$65*손익분기계산기!$B$57)-입력값!$B$96)/입력값!$B$98,0))*입력값!$B$100)*12)-입력값!$A$57)*입력값!$B$58)*(1+입력값!$B$59)*(1-입력값!$B$60)/12)-MAX(0,(($A70*D$65*손익분기계산기!$B$54-손익분기계산기!$B$58-IF(입력값!$B$99="비례",MAX(0,($A70*손익분기계산기!$B$56+$A70*D$65*손익분기계산기!$B$57)-입력값!$B$96)/입력값!$B$98,ROUNDUP(MAX(0,($A70*손익분기계산기!$B$56+$A70*D$65*손익분기계산기!$B$57)-입력값!$B$96)/입력값!$B$98,0))*입력값!$B$100)-(MIN(MAX(0,($A70*D$65*손익분기계산기!$B$54-손익분기계산기!$B$58-IF(입력값!$B$99="비례",MAX(0,($A70*손익분기계산기!$B$56+$A70*D$65*손익분기계산기!$B$57)-입력값!$B$96)/입력값!$B$98,ROUNDUP(MAX(0,($A70*손익분기계산기!$B$56+$A70*D$65*손익분기계산기!$B$57)-입력값!$B$96)/입력값!$B$98,0))*입력값!$B$100)*12),입력값!$A$55)*입력값!$B$55+MAX(0,MIN(MAX(0,($A70*D$65*손익분기계산기!$B$54-손익분기계산기!$B$58-IF(입력값!$B$99="비례",MAX(0,($A70*손익분기계산기!$B$56+$A70*D$65*손익분기계산기!$B$57)-입력값!$B$96)/입력값!$B$98,ROUNDUP(MAX(0,($A70*손익분기계산기!$B$56+$A70*D$65*손익분기계산기!$B$57)-입력값!$B$96)/입력값!$B$98,0))*입력값!$B$100)*12),입력값!$A$56)-입력값!$A$55)*입력값!$B$56+MAX(0,MIN(MAX(0,($A70*D$65*손익분기계산기!$B$54-손익분기계산기!$B$58-IF(입력값!$B$99="비례",MAX(0,($A70*손익분기계산기!$B$56+$A70*D$65*손익분기계산기!$B$57)-입력값!$B$96)/입력값!$B$98,ROUNDUP(MAX(0,($A70*손익분기계산기!$B$56+$A70*D$65*손익분기계산기!$B$57)-입력값!$B$96)/입력값!$B$98,0))*입력값!$B$100)*12),입력값!$A$57)-입력값!$A$56)*입력값!$B$57+MAX(0,MAX(0,($A70*D$65*손익분기계산기!$B$54-손익분기계산기!$B$58-IF(입력값!$B$99="비례",MAX(0,($A70*손익분기계산기!$B$56+$A70*D$65*손익분기계산기!$B$57)-입력값!$B$96)/입력값!$B$98,ROUNDUP(MAX(0,($A70*손익분기계산기!$B$56+$A70*D$65*손익분기계산기!$B$57)-입력값!$B$96)/입력값!$B$98,0))*입력값!$B$100)*12)-입력값!$A$57)*입력값!$B$58)*(1+입력값!$B$59)*(1-입력값!$B$60)/12))*입력값!$B$64</f>
        <v/>
      </c>
      <c r="E70" s="20">
        <f>(($A70*E$65*손익분기계산기!$B$54-손익분기계산기!$B$58-IF(입력값!$B$99="비례",MAX(0,($A70*손익분기계산기!$B$56+$A70*E$65*손익분기계산기!$B$57)-입력값!$B$96)/입력값!$B$98,ROUNDUP(MAX(0,($A70*손익분기계산기!$B$56+$A70*E$65*손익분기계산기!$B$57)-입력값!$B$96)/입력값!$B$98,0))*입력값!$B$100)-(MIN(MAX(0,($A70*E$65*손익분기계산기!$B$54-손익분기계산기!$B$58-IF(입력값!$B$99="비례",MAX(0,($A70*손익분기계산기!$B$56+$A70*E$65*손익분기계산기!$B$57)-입력값!$B$96)/입력값!$B$98,ROUNDUP(MAX(0,($A70*손익분기계산기!$B$56+$A70*E$65*손익분기계산기!$B$57)-입력값!$B$96)/입력값!$B$98,0))*입력값!$B$100)*12),입력값!$A$55)*입력값!$B$55+MAX(0,MIN(MAX(0,($A70*E$65*손익분기계산기!$B$54-손익분기계산기!$B$58-IF(입력값!$B$99="비례",MAX(0,($A70*손익분기계산기!$B$56+$A70*E$65*손익분기계산기!$B$57)-입력값!$B$96)/입력값!$B$98,ROUNDUP(MAX(0,($A70*손익분기계산기!$B$56+$A70*E$65*손익분기계산기!$B$57)-입력값!$B$96)/입력값!$B$98,0))*입력값!$B$100)*12),입력값!$A$56)-입력값!$A$55)*입력값!$B$56+MAX(0,MIN(MAX(0,($A70*E$65*손익분기계산기!$B$54-손익분기계산기!$B$58-IF(입력값!$B$99="비례",MAX(0,($A70*손익분기계산기!$B$56+$A70*E$65*손익분기계산기!$B$57)-입력값!$B$96)/입력값!$B$98,ROUNDUP(MAX(0,($A70*손익분기계산기!$B$56+$A70*E$65*손익분기계산기!$B$57)-입력값!$B$96)/입력값!$B$98,0))*입력값!$B$100)*12),입력값!$A$57)-입력값!$A$56)*입력값!$B$57+MAX(0,MAX(0,($A70*E$65*손익분기계산기!$B$54-손익분기계산기!$B$58-IF(입력값!$B$99="비례",MAX(0,($A70*손익분기계산기!$B$56+$A70*E$65*손익분기계산기!$B$57)-입력값!$B$96)/입력값!$B$98,ROUNDUP(MAX(0,($A70*손익분기계산기!$B$56+$A70*E$65*손익분기계산기!$B$57)-입력값!$B$96)/입력값!$B$98,0))*입력값!$B$100)*12)-입력값!$A$57)*입력값!$B$58)*(1+입력값!$B$59)*(1-입력값!$B$60)/12)-MAX(0,(($A70*E$65*손익분기계산기!$B$54-손익분기계산기!$B$58-IF(입력값!$B$99="비례",MAX(0,($A70*손익분기계산기!$B$56+$A70*E$65*손익분기계산기!$B$57)-입력값!$B$96)/입력값!$B$98,ROUNDUP(MAX(0,($A70*손익분기계산기!$B$56+$A70*E$65*손익분기계산기!$B$57)-입력값!$B$96)/입력값!$B$98,0))*입력값!$B$100)-(MIN(MAX(0,($A70*E$65*손익분기계산기!$B$54-손익분기계산기!$B$58-IF(입력값!$B$99="비례",MAX(0,($A70*손익분기계산기!$B$56+$A70*E$65*손익분기계산기!$B$57)-입력값!$B$96)/입력값!$B$98,ROUNDUP(MAX(0,($A70*손익분기계산기!$B$56+$A70*E$65*손익분기계산기!$B$57)-입력값!$B$96)/입력값!$B$98,0))*입력값!$B$100)*12),입력값!$A$55)*입력값!$B$55+MAX(0,MIN(MAX(0,($A70*E$65*손익분기계산기!$B$54-손익분기계산기!$B$58-IF(입력값!$B$99="비례",MAX(0,($A70*손익분기계산기!$B$56+$A70*E$65*손익분기계산기!$B$57)-입력값!$B$96)/입력값!$B$98,ROUNDUP(MAX(0,($A70*손익분기계산기!$B$56+$A70*E$65*손익분기계산기!$B$57)-입력값!$B$96)/입력값!$B$98,0))*입력값!$B$100)*12),입력값!$A$56)-입력값!$A$55)*입력값!$B$56+MAX(0,MIN(MAX(0,($A70*E$65*손익분기계산기!$B$54-손익분기계산기!$B$58-IF(입력값!$B$99="비례",MAX(0,($A70*손익분기계산기!$B$56+$A70*E$65*손익분기계산기!$B$57)-입력값!$B$96)/입력값!$B$98,ROUNDUP(MAX(0,($A70*손익분기계산기!$B$56+$A70*E$65*손익분기계산기!$B$57)-입력값!$B$96)/입력값!$B$98,0))*입력값!$B$100)*12),입력값!$A$57)-입력값!$A$56)*입력값!$B$57+MAX(0,MAX(0,($A70*E$65*손익분기계산기!$B$54-손익분기계산기!$B$58-IF(입력값!$B$99="비례",MAX(0,($A70*손익분기계산기!$B$56+$A70*E$65*손익분기계산기!$B$57)-입력값!$B$96)/입력값!$B$98,ROUNDUP(MAX(0,($A70*손익분기계산기!$B$56+$A70*E$65*손익분기계산기!$B$57)-입력값!$B$96)/입력값!$B$98,0))*입력값!$B$100)*12)-입력값!$A$57)*입력값!$B$58)*(1+입력값!$B$59)*(1-입력값!$B$60)/12))*입력값!$B$64</f>
        <v/>
      </c>
      <c r="F70" s="20">
        <f>(($A70*F$65*손익분기계산기!$B$54-손익분기계산기!$B$58-IF(입력값!$B$99="비례",MAX(0,($A70*손익분기계산기!$B$56+$A70*F$65*손익분기계산기!$B$57)-입력값!$B$96)/입력값!$B$98,ROUNDUP(MAX(0,($A70*손익분기계산기!$B$56+$A70*F$65*손익분기계산기!$B$57)-입력값!$B$96)/입력값!$B$98,0))*입력값!$B$100)-(MIN(MAX(0,($A70*F$65*손익분기계산기!$B$54-손익분기계산기!$B$58-IF(입력값!$B$99="비례",MAX(0,($A70*손익분기계산기!$B$56+$A70*F$65*손익분기계산기!$B$57)-입력값!$B$96)/입력값!$B$98,ROUNDUP(MAX(0,($A70*손익분기계산기!$B$56+$A70*F$65*손익분기계산기!$B$57)-입력값!$B$96)/입력값!$B$98,0))*입력값!$B$100)*12),입력값!$A$55)*입력값!$B$55+MAX(0,MIN(MAX(0,($A70*F$65*손익분기계산기!$B$54-손익분기계산기!$B$58-IF(입력값!$B$99="비례",MAX(0,($A70*손익분기계산기!$B$56+$A70*F$65*손익분기계산기!$B$57)-입력값!$B$96)/입력값!$B$98,ROUNDUP(MAX(0,($A70*손익분기계산기!$B$56+$A70*F$65*손익분기계산기!$B$57)-입력값!$B$96)/입력값!$B$98,0))*입력값!$B$100)*12),입력값!$A$56)-입력값!$A$55)*입력값!$B$56+MAX(0,MIN(MAX(0,($A70*F$65*손익분기계산기!$B$54-손익분기계산기!$B$58-IF(입력값!$B$99="비례",MAX(0,($A70*손익분기계산기!$B$56+$A70*F$65*손익분기계산기!$B$57)-입력값!$B$96)/입력값!$B$98,ROUNDUP(MAX(0,($A70*손익분기계산기!$B$56+$A70*F$65*손익분기계산기!$B$57)-입력값!$B$96)/입력값!$B$98,0))*입력값!$B$100)*12),입력값!$A$57)-입력값!$A$56)*입력값!$B$57+MAX(0,MAX(0,($A70*F$65*손익분기계산기!$B$54-손익분기계산기!$B$58-IF(입력값!$B$99="비례",MAX(0,($A70*손익분기계산기!$B$56+$A70*F$65*손익분기계산기!$B$57)-입력값!$B$96)/입력값!$B$98,ROUNDUP(MAX(0,($A70*손익분기계산기!$B$56+$A70*F$65*손익분기계산기!$B$57)-입력값!$B$96)/입력값!$B$98,0))*입력값!$B$100)*12)-입력값!$A$57)*입력값!$B$58)*(1+입력값!$B$59)*(1-입력값!$B$60)/12)-MAX(0,(($A70*F$65*손익분기계산기!$B$54-손익분기계산기!$B$58-IF(입력값!$B$99="비례",MAX(0,($A70*손익분기계산기!$B$56+$A70*F$65*손익분기계산기!$B$57)-입력값!$B$96)/입력값!$B$98,ROUNDUP(MAX(0,($A70*손익분기계산기!$B$56+$A70*F$65*손익분기계산기!$B$57)-입력값!$B$96)/입력값!$B$98,0))*입력값!$B$100)-(MIN(MAX(0,($A70*F$65*손익분기계산기!$B$54-손익분기계산기!$B$58-IF(입력값!$B$99="비례",MAX(0,($A70*손익분기계산기!$B$56+$A70*F$65*손익분기계산기!$B$57)-입력값!$B$96)/입력값!$B$98,ROUNDUP(MAX(0,($A70*손익분기계산기!$B$56+$A70*F$65*손익분기계산기!$B$57)-입력값!$B$96)/입력값!$B$98,0))*입력값!$B$100)*12),입력값!$A$55)*입력값!$B$55+MAX(0,MIN(MAX(0,($A70*F$65*손익분기계산기!$B$54-손익분기계산기!$B$58-IF(입력값!$B$99="비례",MAX(0,($A70*손익분기계산기!$B$56+$A70*F$65*손익분기계산기!$B$57)-입력값!$B$96)/입력값!$B$98,ROUNDUP(MAX(0,($A70*손익분기계산기!$B$56+$A70*F$65*손익분기계산기!$B$57)-입력값!$B$96)/입력값!$B$98,0))*입력값!$B$100)*12),입력값!$A$56)-입력값!$A$55)*입력값!$B$56+MAX(0,MIN(MAX(0,($A70*F$65*손익분기계산기!$B$54-손익분기계산기!$B$58-IF(입력값!$B$99="비례",MAX(0,($A70*손익분기계산기!$B$56+$A70*F$65*손익분기계산기!$B$57)-입력값!$B$96)/입력값!$B$98,ROUNDUP(MAX(0,($A70*손익분기계산기!$B$56+$A70*F$65*손익분기계산기!$B$57)-입력값!$B$96)/입력값!$B$98,0))*입력값!$B$100)*12),입력값!$A$57)-입력값!$A$56)*입력값!$B$57+MAX(0,MAX(0,($A70*F$65*손익분기계산기!$B$54-손익분기계산기!$B$58-IF(입력값!$B$99="비례",MAX(0,($A70*손익분기계산기!$B$56+$A70*F$65*손익분기계산기!$B$57)-입력값!$B$96)/입력값!$B$98,ROUNDUP(MAX(0,($A70*손익분기계산기!$B$56+$A70*F$65*손익분기계산기!$B$57)-입력값!$B$96)/입력값!$B$98,0))*입력값!$B$100)*12)-입력값!$A$57)*입력값!$B$58)*(1+입력값!$B$59)*(1-입력값!$B$60)/12))*입력값!$B$64</f>
        <v/>
      </c>
      <c r="G70" s="20">
        <f>(($A70*G$65*손익분기계산기!$B$54-손익분기계산기!$B$58-IF(입력값!$B$99="비례",MAX(0,($A70*손익분기계산기!$B$56+$A70*G$65*손익분기계산기!$B$57)-입력값!$B$96)/입력값!$B$98,ROUNDUP(MAX(0,($A70*손익분기계산기!$B$56+$A70*G$65*손익분기계산기!$B$57)-입력값!$B$96)/입력값!$B$98,0))*입력값!$B$100)-(MIN(MAX(0,($A70*G$65*손익분기계산기!$B$54-손익분기계산기!$B$58-IF(입력값!$B$99="비례",MAX(0,($A70*손익분기계산기!$B$56+$A70*G$65*손익분기계산기!$B$57)-입력값!$B$96)/입력값!$B$98,ROUNDUP(MAX(0,($A70*손익분기계산기!$B$56+$A70*G$65*손익분기계산기!$B$57)-입력값!$B$96)/입력값!$B$98,0))*입력값!$B$100)*12),입력값!$A$55)*입력값!$B$55+MAX(0,MIN(MAX(0,($A70*G$65*손익분기계산기!$B$54-손익분기계산기!$B$58-IF(입력값!$B$99="비례",MAX(0,($A70*손익분기계산기!$B$56+$A70*G$65*손익분기계산기!$B$57)-입력값!$B$96)/입력값!$B$98,ROUNDUP(MAX(0,($A70*손익분기계산기!$B$56+$A70*G$65*손익분기계산기!$B$57)-입력값!$B$96)/입력값!$B$98,0))*입력값!$B$100)*12),입력값!$A$56)-입력값!$A$55)*입력값!$B$56+MAX(0,MIN(MAX(0,($A70*G$65*손익분기계산기!$B$54-손익분기계산기!$B$58-IF(입력값!$B$99="비례",MAX(0,($A70*손익분기계산기!$B$56+$A70*G$65*손익분기계산기!$B$57)-입력값!$B$96)/입력값!$B$98,ROUNDUP(MAX(0,($A70*손익분기계산기!$B$56+$A70*G$65*손익분기계산기!$B$57)-입력값!$B$96)/입력값!$B$98,0))*입력값!$B$100)*12),입력값!$A$57)-입력값!$A$56)*입력값!$B$57+MAX(0,MAX(0,($A70*G$65*손익분기계산기!$B$54-손익분기계산기!$B$58-IF(입력값!$B$99="비례",MAX(0,($A70*손익분기계산기!$B$56+$A70*G$65*손익분기계산기!$B$57)-입력값!$B$96)/입력값!$B$98,ROUNDUP(MAX(0,($A70*손익분기계산기!$B$56+$A70*G$65*손익분기계산기!$B$57)-입력값!$B$96)/입력값!$B$98,0))*입력값!$B$100)*12)-입력값!$A$57)*입력값!$B$58)*(1+입력값!$B$59)*(1-입력값!$B$60)/12)-MAX(0,(($A70*G$65*손익분기계산기!$B$54-손익분기계산기!$B$58-IF(입력값!$B$99="비례",MAX(0,($A70*손익분기계산기!$B$56+$A70*G$65*손익분기계산기!$B$57)-입력값!$B$96)/입력값!$B$98,ROUNDUP(MAX(0,($A70*손익분기계산기!$B$56+$A70*G$65*손익분기계산기!$B$57)-입력값!$B$96)/입력값!$B$98,0))*입력값!$B$100)-(MIN(MAX(0,($A70*G$65*손익분기계산기!$B$54-손익분기계산기!$B$58-IF(입력값!$B$99="비례",MAX(0,($A70*손익분기계산기!$B$56+$A70*G$65*손익분기계산기!$B$57)-입력값!$B$96)/입력값!$B$98,ROUNDUP(MAX(0,($A70*손익분기계산기!$B$56+$A70*G$65*손익분기계산기!$B$57)-입력값!$B$96)/입력값!$B$98,0))*입력값!$B$100)*12),입력값!$A$55)*입력값!$B$55+MAX(0,MIN(MAX(0,($A70*G$65*손익분기계산기!$B$54-손익분기계산기!$B$58-IF(입력값!$B$99="비례",MAX(0,($A70*손익분기계산기!$B$56+$A70*G$65*손익분기계산기!$B$57)-입력값!$B$96)/입력값!$B$98,ROUNDUP(MAX(0,($A70*손익분기계산기!$B$56+$A70*G$65*손익분기계산기!$B$57)-입력값!$B$96)/입력값!$B$98,0))*입력값!$B$100)*12),입력값!$A$56)-입력값!$A$55)*입력값!$B$56+MAX(0,MIN(MAX(0,($A70*G$65*손익분기계산기!$B$54-손익분기계산기!$B$58-IF(입력값!$B$99="비례",MAX(0,($A70*손익분기계산기!$B$56+$A70*G$65*손익분기계산기!$B$57)-입력값!$B$96)/입력값!$B$98,ROUNDUP(MAX(0,($A70*손익분기계산기!$B$56+$A70*G$65*손익분기계산기!$B$57)-입력값!$B$96)/입력값!$B$98,0))*입력값!$B$100)*12),입력값!$A$57)-입력값!$A$56)*입력값!$B$57+MAX(0,MAX(0,($A70*G$65*손익분기계산기!$B$54-손익분기계산기!$B$58-IF(입력값!$B$99="비례",MAX(0,($A70*손익분기계산기!$B$56+$A70*G$65*손익분기계산기!$B$57)-입력값!$B$96)/입력값!$B$98,ROUNDUP(MAX(0,($A70*손익분기계산기!$B$56+$A70*G$65*손익분기계산기!$B$57)-입력값!$B$96)/입력값!$B$98,0))*입력값!$B$100)*12)-입력값!$A$57)*입력값!$B$58)*(1+입력값!$B$59)*(1-입력값!$B$60)/12))*입력값!$B$64</f>
        <v/>
      </c>
      <c r="H70" s="20">
        <f>(($A70*H$65*손익분기계산기!$B$54-손익분기계산기!$B$58-IF(입력값!$B$99="비례",MAX(0,($A70*손익분기계산기!$B$56+$A70*H$65*손익분기계산기!$B$57)-입력값!$B$96)/입력값!$B$98,ROUNDUP(MAX(0,($A70*손익분기계산기!$B$56+$A70*H$65*손익분기계산기!$B$57)-입력값!$B$96)/입력값!$B$98,0))*입력값!$B$100)-(MIN(MAX(0,($A70*H$65*손익분기계산기!$B$54-손익분기계산기!$B$58-IF(입력값!$B$99="비례",MAX(0,($A70*손익분기계산기!$B$56+$A70*H$65*손익분기계산기!$B$57)-입력값!$B$96)/입력값!$B$98,ROUNDUP(MAX(0,($A70*손익분기계산기!$B$56+$A70*H$65*손익분기계산기!$B$57)-입력값!$B$96)/입력값!$B$98,0))*입력값!$B$100)*12),입력값!$A$55)*입력값!$B$55+MAX(0,MIN(MAX(0,($A70*H$65*손익분기계산기!$B$54-손익분기계산기!$B$58-IF(입력값!$B$99="비례",MAX(0,($A70*손익분기계산기!$B$56+$A70*H$65*손익분기계산기!$B$57)-입력값!$B$96)/입력값!$B$98,ROUNDUP(MAX(0,($A70*손익분기계산기!$B$56+$A70*H$65*손익분기계산기!$B$57)-입력값!$B$96)/입력값!$B$98,0))*입력값!$B$100)*12),입력값!$A$56)-입력값!$A$55)*입력값!$B$56+MAX(0,MIN(MAX(0,($A70*H$65*손익분기계산기!$B$54-손익분기계산기!$B$58-IF(입력값!$B$99="비례",MAX(0,($A70*손익분기계산기!$B$56+$A70*H$65*손익분기계산기!$B$57)-입력값!$B$96)/입력값!$B$98,ROUNDUP(MAX(0,($A70*손익분기계산기!$B$56+$A70*H$65*손익분기계산기!$B$57)-입력값!$B$96)/입력값!$B$98,0))*입력값!$B$100)*12),입력값!$A$57)-입력값!$A$56)*입력값!$B$57+MAX(0,MAX(0,($A70*H$65*손익분기계산기!$B$54-손익분기계산기!$B$58-IF(입력값!$B$99="비례",MAX(0,($A70*손익분기계산기!$B$56+$A70*H$65*손익분기계산기!$B$57)-입력값!$B$96)/입력값!$B$98,ROUNDUP(MAX(0,($A70*손익분기계산기!$B$56+$A70*H$65*손익분기계산기!$B$57)-입력값!$B$96)/입력값!$B$98,0))*입력값!$B$100)*12)-입력값!$A$57)*입력값!$B$58)*(1+입력값!$B$59)*(1-입력값!$B$60)/12)-MAX(0,(($A70*H$65*손익분기계산기!$B$54-손익분기계산기!$B$58-IF(입력값!$B$99="비례",MAX(0,($A70*손익분기계산기!$B$56+$A70*H$65*손익분기계산기!$B$57)-입력값!$B$96)/입력값!$B$98,ROUNDUP(MAX(0,($A70*손익분기계산기!$B$56+$A70*H$65*손익분기계산기!$B$57)-입력값!$B$96)/입력값!$B$98,0))*입력값!$B$100)-(MIN(MAX(0,($A70*H$65*손익분기계산기!$B$54-손익분기계산기!$B$58-IF(입력값!$B$99="비례",MAX(0,($A70*손익분기계산기!$B$56+$A70*H$65*손익분기계산기!$B$57)-입력값!$B$96)/입력값!$B$98,ROUNDUP(MAX(0,($A70*손익분기계산기!$B$56+$A70*H$65*손익분기계산기!$B$57)-입력값!$B$96)/입력값!$B$98,0))*입력값!$B$100)*12),입력값!$A$55)*입력값!$B$55+MAX(0,MIN(MAX(0,($A70*H$65*손익분기계산기!$B$54-손익분기계산기!$B$58-IF(입력값!$B$99="비례",MAX(0,($A70*손익분기계산기!$B$56+$A70*H$65*손익분기계산기!$B$57)-입력값!$B$96)/입력값!$B$98,ROUNDUP(MAX(0,($A70*손익분기계산기!$B$56+$A70*H$65*손익분기계산기!$B$57)-입력값!$B$96)/입력값!$B$98,0))*입력값!$B$100)*12),입력값!$A$56)-입력값!$A$55)*입력값!$B$56+MAX(0,MIN(MAX(0,($A70*H$65*손익분기계산기!$B$54-손익분기계산기!$B$58-IF(입력값!$B$99="비례",MAX(0,($A70*손익분기계산기!$B$56+$A70*H$65*손익분기계산기!$B$57)-입력값!$B$96)/입력값!$B$98,ROUNDUP(MAX(0,($A70*손익분기계산기!$B$56+$A70*H$65*손익분기계산기!$B$57)-입력값!$B$96)/입력값!$B$98,0))*입력값!$B$100)*12),입력값!$A$57)-입력값!$A$56)*입력값!$B$57+MAX(0,MAX(0,($A70*H$65*손익분기계산기!$B$54-손익분기계산기!$B$58-IF(입력값!$B$99="비례",MAX(0,($A70*손익분기계산기!$B$56+$A70*H$65*손익분기계산기!$B$57)-입력값!$B$96)/입력값!$B$98,ROUNDUP(MAX(0,($A70*손익분기계산기!$B$56+$A70*H$65*손익분기계산기!$B$57)-입력값!$B$96)/입력값!$B$98,0))*입력값!$B$100)*12)-입력값!$A$57)*입력값!$B$58)*(1+입력값!$B$59)*(1-입력값!$B$60)/12))*입력값!$B$64</f>
        <v/>
      </c>
      <c r="I70" s="20">
        <f>(($A70*I$65*손익분기계산기!$B$54-손익분기계산기!$B$58-IF(입력값!$B$99="비례",MAX(0,($A70*손익분기계산기!$B$56+$A70*I$65*손익분기계산기!$B$57)-입력값!$B$96)/입력값!$B$98,ROUNDUP(MAX(0,($A70*손익분기계산기!$B$56+$A70*I$65*손익분기계산기!$B$57)-입력값!$B$96)/입력값!$B$98,0))*입력값!$B$100)-(MIN(MAX(0,($A70*I$65*손익분기계산기!$B$54-손익분기계산기!$B$58-IF(입력값!$B$99="비례",MAX(0,($A70*손익분기계산기!$B$56+$A70*I$65*손익분기계산기!$B$57)-입력값!$B$96)/입력값!$B$98,ROUNDUP(MAX(0,($A70*손익분기계산기!$B$56+$A70*I$65*손익분기계산기!$B$57)-입력값!$B$96)/입력값!$B$98,0))*입력값!$B$100)*12),입력값!$A$55)*입력값!$B$55+MAX(0,MIN(MAX(0,($A70*I$65*손익분기계산기!$B$54-손익분기계산기!$B$58-IF(입력값!$B$99="비례",MAX(0,($A70*손익분기계산기!$B$56+$A70*I$65*손익분기계산기!$B$57)-입력값!$B$96)/입력값!$B$98,ROUNDUP(MAX(0,($A70*손익분기계산기!$B$56+$A70*I$65*손익분기계산기!$B$57)-입력값!$B$96)/입력값!$B$98,0))*입력값!$B$100)*12),입력값!$A$56)-입력값!$A$55)*입력값!$B$56+MAX(0,MIN(MAX(0,($A70*I$65*손익분기계산기!$B$54-손익분기계산기!$B$58-IF(입력값!$B$99="비례",MAX(0,($A70*손익분기계산기!$B$56+$A70*I$65*손익분기계산기!$B$57)-입력값!$B$96)/입력값!$B$98,ROUNDUP(MAX(0,($A70*손익분기계산기!$B$56+$A70*I$65*손익분기계산기!$B$57)-입력값!$B$96)/입력값!$B$98,0))*입력값!$B$100)*12),입력값!$A$57)-입력값!$A$56)*입력값!$B$57+MAX(0,MAX(0,($A70*I$65*손익분기계산기!$B$54-손익분기계산기!$B$58-IF(입력값!$B$99="비례",MAX(0,($A70*손익분기계산기!$B$56+$A70*I$65*손익분기계산기!$B$57)-입력값!$B$96)/입력값!$B$98,ROUNDUP(MAX(0,($A70*손익분기계산기!$B$56+$A70*I$65*손익분기계산기!$B$57)-입력값!$B$96)/입력값!$B$98,0))*입력값!$B$100)*12)-입력값!$A$57)*입력값!$B$58)*(1+입력값!$B$59)*(1-입력값!$B$60)/12)-MAX(0,(($A70*I$65*손익분기계산기!$B$54-손익분기계산기!$B$58-IF(입력값!$B$99="비례",MAX(0,($A70*손익분기계산기!$B$56+$A70*I$65*손익분기계산기!$B$57)-입력값!$B$96)/입력값!$B$98,ROUNDUP(MAX(0,($A70*손익분기계산기!$B$56+$A70*I$65*손익분기계산기!$B$57)-입력값!$B$96)/입력값!$B$98,0))*입력값!$B$100)-(MIN(MAX(0,($A70*I$65*손익분기계산기!$B$54-손익분기계산기!$B$58-IF(입력값!$B$99="비례",MAX(0,($A70*손익분기계산기!$B$56+$A70*I$65*손익분기계산기!$B$57)-입력값!$B$96)/입력값!$B$98,ROUNDUP(MAX(0,($A70*손익분기계산기!$B$56+$A70*I$65*손익분기계산기!$B$57)-입력값!$B$96)/입력값!$B$98,0))*입력값!$B$100)*12),입력값!$A$55)*입력값!$B$55+MAX(0,MIN(MAX(0,($A70*I$65*손익분기계산기!$B$54-손익분기계산기!$B$58-IF(입력값!$B$99="비례",MAX(0,($A70*손익분기계산기!$B$56+$A70*I$65*손익분기계산기!$B$57)-입력값!$B$96)/입력값!$B$98,ROUNDUP(MAX(0,($A70*손익분기계산기!$B$56+$A70*I$65*손익분기계산기!$B$57)-입력값!$B$96)/입력값!$B$98,0))*입력값!$B$100)*12),입력값!$A$56)-입력값!$A$55)*입력값!$B$56+MAX(0,MIN(MAX(0,($A70*I$65*손익분기계산기!$B$54-손익분기계산기!$B$58-IF(입력값!$B$99="비례",MAX(0,($A70*손익분기계산기!$B$56+$A70*I$65*손익분기계산기!$B$57)-입력값!$B$96)/입력값!$B$98,ROUNDUP(MAX(0,($A70*손익분기계산기!$B$56+$A70*I$65*손익분기계산기!$B$57)-입력값!$B$96)/입력값!$B$98,0))*입력값!$B$100)*12),입력값!$A$57)-입력값!$A$56)*입력값!$B$57+MAX(0,MAX(0,($A70*I$65*손익분기계산기!$B$54-손익분기계산기!$B$58-IF(입력값!$B$99="비례",MAX(0,($A70*손익분기계산기!$B$56+$A70*I$65*손익분기계산기!$B$57)-입력값!$B$96)/입력값!$B$98,ROUNDUP(MAX(0,($A70*손익분기계산기!$B$56+$A70*I$65*손익분기계산기!$B$57)-입력값!$B$96)/입력값!$B$98,0))*입력값!$B$100)*12)-입력값!$A$57)*입력값!$B$58)*(1+입력값!$B$59)*(1-입력값!$B$60)/12))*입력값!$B$64</f>
        <v/>
      </c>
    </row>
    <row r="71">
      <c r="A71" s="24" t="n">
        <v>30</v>
      </c>
      <c r="B71" s="20">
        <f>(($A71*B$65*손익분기계산기!$B$54-손익분기계산기!$B$58-IF(입력값!$B$99="비례",MAX(0,($A71*손익분기계산기!$B$56+$A71*B$65*손익분기계산기!$B$57)-입력값!$B$96)/입력값!$B$98,ROUNDUP(MAX(0,($A71*손익분기계산기!$B$56+$A71*B$65*손익분기계산기!$B$57)-입력값!$B$96)/입력값!$B$98,0))*입력값!$B$100)-(MIN(MAX(0,($A71*B$65*손익분기계산기!$B$54-손익분기계산기!$B$58-IF(입력값!$B$99="비례",MAX(0,($A71*손익분기계산기!$B$56+$A71*B$65*손익분기계산기!$B$57)-입력값!$B$96)/입력값!$B$98,ROUNDUP(MAX(0,($A71*손익분기계산기!$B$56+$A71*B$65*손익분기계산기!$B$57)-입력값!$B$96)/입력값!$B$98,0))*입력값!$B$100)*12),입력값!$A$55)*입력값!$B$55+MAX(0,MIN(MAX(0,($A71*B$65*손익분기계산기!$B$54-손익분기계산기!$B$58-IF(입력값!$B$99="비례",MAX(0,($A71*손익분기계산기!$B$56+$A71*B$65*손익분기계산기!$B$57)-입력값!$B$96)/입력값!$B$98,ROUNDUP(MAX(0,($A71*손익분기계산기!$B$56+$A71*B$65*손익분기계산기!$B$57)-입력값!$B$96)/입력값!$B$98,0))*입력값!$B$100)*12),입력값!$A$56)-입력값!$A$55)*입력값!$B$56+MAX(0,MIN(MAX(0,($A71*B$65*손익분기계산기!$B$54-손익분기계산기!$B$58-IF(입력값!$B$99="비례",MAX(0,($A71*손익분기계산기!$B$56+$A71*B$65*손익분기계산기!$B$57)-입력값!$B$96)/입력값!$B$98,ROUNDUP(MAX(0,($A71*손익분기계산기!$B$56+$A71*B$65*손익분기계산기!$B$57)-입력값!$B$96)/입력값!$B$98,0))*입력값!$B$100)*12),입력값!$A$57)-입력값!$A$56)*입력값!$B$57+MAX(0,MAX(0,($A71*B$65*손익분기계산기!$B$54-손익분기계산기!$B$58-IF(입력값!$B$99="비례",MAX(0,($A71*손익분기계산기!$B$56+$A71*B$65*손익분기계산기!$B$57)-입력값!$B$96)/입력값!$B$98,ROUNDUP(MAX(0,($A71*손익분기계산기!$B$56+$A71*B$65*손익분기계산기!$B$57)-입력값!$B$96)/입력값!$B$98,0))*입력값!$B$100)*12)-입력값!$A$57)*입력값!$B$58)*(1+입력값!$B$59)*(1-입력값!$B$60)/12)-MAX(0,(($A71*B$65*손익분기계산기!$B$54-손익분기계산기!$B$58-IF(입력값!$B$99="비례",MAX(0,($A71*손익분기계산기!$B$56+$A71*B$65*손익분기계산기!$B$57)-입력값!$B$96)/입력값!$B$98,ROUNDUP(MAX(0,($A71*손익분기계산기!$B$56+$A71*B$65*손익분기계산기!$B$57)-입력값!$B$96)/입력값!$B$98,0))*입력값!$B$100)-(MIN(MAX(0,($A71*B$65*손익분기계산기!$B$54-손익분기계산기!$B$58-IF(입력값!$B$99="비례",MAX(0,($A71*손익분기계산기!$B$56+$A71*B$65*손익분기계산기!$B$57)-입력값!$B$96)/입력값!$B$98,ROUNDUP(MAX(0,($A71*손익분기계산기!$B$56+$A71*B$65*손익분기계산기!$B$57)-입력값!$B$96)/입력값!$B$98,0))*입력값!$B$100)*12),입력값!$A$55)*입력값!$B$55+MAX(0,MIN(MAX(0,($A71*B$65*손익분기계산기!$B$54-손익분기계산기!$B$58-IF(입력값!$B$99="비례",MAX(0,($A71*손익분기계산기!$B$56+$A71*B$65*손익분기계산기!$B$57)-입력값!$B$96)/입력값!$B$98,ROUNDUP(MAX(0,($A71*손익분기계산기!$B$56+$A71*B$65*손익분기계산기!$B$57)-입력값!$B$96)/입력값!$B$98,0))*입력값!$B$100)*12),입력값!$A$56)-입력값!$A$55)*입력값!$B$56+MAX(0,MIN(MAX(0,($A71*B$65*손익분기계산기!$B$54-손익분기계산기!$B$58-IF(입력값!$B$99="비례",MAX(0,($A71*손익분기계산기!$B$56+$A71*B$65*손익분기계산기!$B$57)-입력값!$B$96)/입력값!$B$98,ROUNDUP(MAX(0,($A71*손익분기계산기!$B$56+$A71*B$65*손익분기계산기!$B$57)-입력값!$B$96)/입력값!$B$98,0))*입력값!$B$100)*12),입력값!$A$57)-입력값!$A$56)*입력값!$B$57+MAX(0,MAX(0,($A71*B$65*손익분기계산기!$B$54-손익분기계산기!$B$58-IF(입력값!$B$99="비례",MAX(0,($A71*손익분기계산기!$B$56+$A71*B$65*손익분기계산기!$B$57)-입력값!$B$96)/입력값!$B$98,ROUNDUP(MAX(0,($A71*손익분기계산기!$B$56+$A71*B$65*손익분기계산기!$B$57)-입력값!$B$96)/입력값!$B$98,0))*입력값!$B$100)*12)-입력값!$A$57)*입력값!$B$58)*(1+입력값!$B$59)*(1-입력값!$B$60)/12))*입력값!$B$64</f>
        <v/>
      </c>
      <c r="C71" s="20">
        <f>(($A71*C$65*손익분기계산기!$B$54-손익분기계산기!$B$58-IF(입력값!$B$99="비례",MAX(0,($A71*손익분기계산기!$B$56+$A71*C$65*손익분기계산기!$B$57)-입력값!$B$96)/입력값!$B$98,ROUNDUP(MAX(0,($A71*손익분기계산기!$B$56+$A71*C$65*손익분기계산기!$B$57)-입력값!$B$96)/입력값!$B$98,0))*입력값!$B$100)-(MIN(MAX(0,($A71*C$65*손익분기계산기!$B$54-손익분기계산기!$B$58-IF(입력값!$B$99="비례",MAX(0,($A71*손익분기계산기!$B$56+$A71*C$65*손익분기계산기!$B$57)-입력값!$B$96)/입력값!$B$98,ROUNDUP(MAX(0,($A71*손익분기계산기!$B$56+$A71*C$65*손익분기계산기!$B$57)-입력값!$B$96)/입력값!$B$98,0))*입력값!$B$100)*12),입력값!$A$55)*입력값!$B$55+MAX(0,MIN(MAX(0,($A71*C$65*손익분기계산기!$B$54-손익분기계산기!$B$58-IF(입력값!$B$99="비례",MAX(0,($A71*손익분기계산기!$B$56+$A71*C$65*손익분기계산기!$B$57)-입력값!$B$96)/입력값!$B$98,ROUNDUP(MAX(0,($A71*손익분기계산기!$B$56+$A71*C$65*손익분기계산기!$B$57)-입력값!$B$96)/입력값!$B$98,0))*입력값!$B$100)*12),입력값!$A$56)-입력값!$A$55)*입력값!$B$56+MAX(0,MIN(MAX(0,($A71*C$65*손익분기계산기!$B$54-손익분기계산기!$B$58-IF(입력값!$B$99="비례",MAX(0,($A71*손익분기계산기!$B$56+$A71*C$65*손익분기계산기!$B$57)-입력값!$B$96)/입력값!$B$98,ROUNDUP(MAX(0,($A71*손익분기계산기!$B$56+$A71*C$65*손익분기계산기!$B$57)-입력값!$B$96)/입력값!$B$98,0))*입력값!$B$100)*12),입력값!$A$57)-입력값!$A$56)*입력값!$B$57+MAX(0,MAX(0,($A71*C$65*손익분기계산기!$B$54-손익분기계산기!$B$58-IF(입력값!$B$99="비례",MAX(0,($A71*손익분기계산기!$B$56+$A71*C$65*손익분기계산기!$B$57)-입력값!$B$96)/입력값!$B$98,ROUNDUP(MAX(0,($A71*손익분기계산기!$B$56+$A71*C$65*손익분기계산기!$B$57)-입력값!$B$96)/입력값!$B$98,0))*입력값!$B$100)*12)-입력값!$A$57)*입력값!$B$58)*(1+입력값!$B$59)*(1-입력값!$B$60)/12)-MAX(0,(($A71*C$65*손익분기계산기!$B$54-손익분기계산기!$B$58-IF(입력값!$B$99="비례",MAX(0,($A71*손익분기계산기!$B$56+$A71*C$65*손익분기계산기!$B$57)-입력값!$B$96)/입력값!$B$98,ROUNDUP(MAX(0,($A71*손익분기계산기!$B$56+$A71*C$65*손익분기계산기!$B$57)-입력값!$B$96)/입력값!$B$98,0))*입력값!$B$100)-(MIN(MAX(0,($A71*C$65*손익분기계산기!$B$54-손익분기계산기!$B$58-IF(입력값!$B$99="비례",MAX(0,($A71*손익분기계산기!$B$56+$A71*C$65*손익분기계산기!$B$57)-입력값!$B$96)/입력값!$B$98,ROUNDUP(MAX(0,($A71*손익분기계산기!$B$56+$A71*C$65*손익분기계산기!$B$57)-입력값!$B$96)/입력값!$B$98,0))*입력값!$B$100)*12),입력값!$A$55)*입력값!$B$55+MAX(0,MIN(MAX(0,($A71*C$65*손익분기계산기!$B$54-손익분기계산기!$B$58-IF(입력값!$B$99="비례",MAX(0,($A71*손익분기계산기!$B$56+$A71*C$65*손익분기계산기!$B$57)-입력값!$B$96)/입력값!$B$98,ROUNDUP(MAX(0,($A71*손익분기계산기!$B$56+$A71*C$65*손익분기계산기!$B$57)-입력값!$B$96)/입력값!$B$98,0))*입력값!$B$100)*12),입력값!$A$56)-입력값!$A$55)*입력값!$B$56+MAX(0,MIN(MAX(0,($A71*C$65*손익분기계산기!$B$54-손익분기계산기!$B$58-IF(입력값!$B$99="비례",MAX(0,($A71*손익분기계산기!$B$56+$A71*C$65*손익분기계산기!$B$57)-입력값!$B$96)/입력값!$B$98,ROUNDUP(MAX(0,($A71*손익분기계산기!$B$56+$A71*C$65*손익분기계산기!$B$57)-입력값!$B$96)/입력값!$B$98,0))*입력값!$B$100)*12),입력값!$A$57)-입력값!$A$56)*입력값!$B$57+MAX(0,MAX(0,($A71*C$65*손익분기계산기!$B$54-손익분기계산기!$B$58-IF(입력값!$B$99="비례",MAX(0,($A71*손익분기계산기!$B$56+$A71*C$65*손익분기계산기!$B$57)-입력값!$B$96)/입력값!$B$98,ROUNDUP(MAX(0,($A71*손익분기계산기!$B$56+$A71*C$65*손익분기계산기!$B$57)-입력값!$B$96)/입력값!$B$98,0))*입력값!$B$100)*12)-입력값!$A$57)*입력값!$B$58)*(1+입력값!$B$59)*(1-입력값!$B$60)/12))*입력값!$B$64</f>
        <v/>
      </c>
      <c r="D71" s="20">
        <f>(($A71*D$65*손익분기계산기!$B$54-손익분기계산기!$B$58-IF(입력값!$B$99="비례",MAX(0,($A71*손익분기계산기!$B$56+$A71*D$65*손익분기계산기!$B$57)-입력값!$B$96)/입력값!$B$98,ROUNDUP(MAX(0,($A71*손익분기계산기!$B$56+$A71*D$65*손익분기계산기!$B$57)-입력값!$B$96)/입력값!$B$98,0))*입력값!$B$100)-(MIN(MAX(0,($A71*D$65*손익분기계산기!$B$54-손익분기계산기!$B$58-IF(입력값!$B$99="비례",MAX(0,($A71*손익분기계산기!$B$56+$A71*D$65*손익분기계산기!$B$57)-입력값!$B$96)/입력값!$B$98,ROUNDUP(MAX(0,($A71*손익분기계산기!$B$56+$A71*D$65*손익분기계산기!$B$57)-입력값!$B$96)/입력값!$B$98,0))*입력값!$B$100)*12),입력값!$A$55)*입력값!$B$55+MAX(0,MIN(MAX(0,($A71*D$65*손익분기계산기!$B$54-손익분기계산기!$B$58-IF(입력값!$B$99="비례",MAX(0,($A71*손익분기계산기!$B$56+$A71*D$65*손익분기계산기!$B$57)-입력값!$B$96)/입력값!$B$98,ROUNDUP(MAX(0,($A71*손익분기계산기!$B$56+$A71*D$65*손익분기계산기!$B$57)-입력값!$B$96)/입력값!$B$98,0))*입력값!$B$100)*12),입력값!$A$56)-입력값!$A$55)*입력값!$B$56+MAX(0,MIN(MAX(0,($A71*D$65*손익분기계산기!$B$54-손익분기계산기!$B$58-IF(입력값!$B$99="비례",MAX(0,($A71*손익분기계산기!$B$56+$A71*D$65*손익분기계산기!$B$57)-입력값!$B$96)/입력값!$B$98,ROUNDUP(MAX(0,($A71*손익분기계산기!$B$56+$A71*D$65*손익분기계산기!$B$57)-입력값!$B$96)/입력값!$B$98,0))*입력값!$B$100)*12),입력값!$A$57)-입력값!$A$56)*입력값!$B$57+MAX(0,MAX(0,($A71*D$65*손익분기계산기!$B$54-손익분기계산기!$B$58-IF(입력값!$B$99="비례",MAX(0,($A71*손익분기계산기!$B$56+$A71*D$65*손익분기계산기!$B$57)-입력값!$B$96)/입력값!$B$98,ROUNDUP(MAX(0,($A71*손익분기계산기!$B$56+$A71*D$65*손익분기계산기!$B$57)-입력값!$B$96)/입력값!$B$98,0))*입력값!$B$100)*12)-입력값!$A$57)*입력값!$B$58)*(1+입력값!$B$59)*(1-입력값!$B$60)/12)-MAX(0,(($A71*D$65*손익분기계산기!$B$54-손익분기계산기!$B$58-IF(입력값!$B$99="비례",MAX(0,($A71*손익분기계산기!$B$56+$A71*D$65*손익분기계산기!$B$57)-입력값!$B$96)/입력값!$B$98,ROUNDUP(MAX(0,($A71*손익분기계산기!$B$56+$A71*D$65*손익분기계산기!$B$57)-입력값!$B$96)/입력값!$B$98,0))*입력값!$B$100)-(MIN(MAX(0,($A71*D$65*손익분기계산기!$B$54-손익분기계산기!$B$58-IF(입력값!$B$99="비례",MAX(0,($A71*손익분기계산기!$B$56+$A71*D$65*손익분기계산기!$B$57)-입력값!$B$96)/입력값!$B$98,ROUNDUP(MAX(0,($A71*손익분기계산기!$B$56+$A71*D$65*손익분기계산기!$B$57)-입력값!$B$96)/입력값!$B$98,0))*입력값!$B$100)*12),입력값!$A$55)*입력값!$B$55+MAX(0,MIN(MAX(0,($A71*D$65*손익분기계산기!$B$54-손익분기계산기!$B$58-IF(입력값!$B$99="비례",MAX(0,($A71*손익분기계산기!$B$56+$A71*D$65*손익분기계산기!$B$57)-입력값!$B$96)/입력값!$B$98,ROUNDUP(MAX(0,($A71*손익분기계산기!$B$56+$A71*D$65*손익분기계산기!$B$57)-입력값!$B$96)/입력값!$B$98,0))*입력값!$B$100)*12),입력값!$A$56)-입력값!$A$55)*입력값!$B$56+MAX(0,MIN(MAX(0,($A71*D$65*손익분기계산기!$B$54-손익분기계산기!$B$58-IF(입력값!$B$99="비례",MAX(0,($A71*손익분기계산기!$B$56+$A71*D$65*손익분기계산기!$B$57)-입력값!$B$96)/입력값!$B$98,ROUNDUP(MAX(0,($A71*손익분기계산기!$B$56+$A71*D$65*손익분기계산기!$B$57)-입력값!$B$96)/입력값!$B$98,0))*입력값!$B$100)*12),입력값!$A$57)-입력값!$A$56)*입력값!$B$57+MAX(0,MAX(0,($A71*D$65*손익분기계산기!$B$54-손익분기계산기!$B$58-IF(입력값!$B$99="비례",MAX(0,($A71*손익분기계산기!$B$56+$A71*D$65*손익분기계산기!$B$57)-입력값!$B$96)/입력값!$B$98,ROUNDUP(MAX(0,($A71*손익분기계산기!$B$56+$A71*D$65*손익분기계산기!$B$57)-입력값!$B$96)/입력값!$B$98,0))*입력값!$B$100)*12)-입력값!$A$57)*입력값!$B$58)*(1+입력값!$B$59)*(1-입력값!$B$60)/12))*입력값!$B$64</f>
        <v/>
      </c>
      <c r="E71" s="20">
        <f>(($A71*E$65*손익분기계산기!$B$54-손익분기계산기!$B$58-IF(입력값!$B$99="비례",MAX(0,($A71*손익분기계산기!$B$56+$A71*E$65*손익분기계산기!$B$57)-입력값!$B$96)/입력값!$B$98,ROUNDUP(MAX(0,($A71*손익분기계산기!$B$56+$A71*E$65*손익분기계산기!$B$57)-입력값!$B$96)/입력값!$B$98,0))*입력값!$B$100)-(MIN(MAX(0,($A71*E$65*손익분기계산기!$B$54-손익분기계산기!$B$58-IF(입력값!$B$99="비례",MAX(0,($A71*손익분기계산기!$B$56+$A71*E$65*손익분기계산기!$B$57)-입력값!$B$96)/입력값!$B$98,ROUNDUP(MAX(0,($A71*손익분기계산기!$B$56+$A71*E$65*손익분기계산기!$B$57)-입력값!$B$96)/입력값!$B$98,0))*입력값!$B$100)*12),입력값!$A$55)*입력값!$B$55+MAX(0,MIN(MAX(0,($A71*E$65*손익분기계산기!$B$54-손익분기계산기!$B$58-IF(입력값!$B$99="비례",MAX(0,($A71*손익분기계산기!$B$56+$A71*E$65*손익분기계산기!$B$57)-입력값!$B$96)/입력값!$B$98,ROUNDUP(MAX(0,($A71*손익분기계산기!$B$56+$A71*E$65*손익분기계산기!$B$57)-입력값!$B$96)/입력값!$B$98,0))*입력값!$B$100)*12),입력값!$A$56)-입력값!$A$55)*입력값!$B$56+MAX(0,MIN(MAX(0,($A71*E$65*손익분기계산기!$B$54-손익분기계산기!$B$58-IF(입력값!$B$99="비례",MAX(0,($A71*손익분기계산기!$B$56+$A71*E$65*손익분기계산기!$B$57)-입력값!$B$96)/입력값!$B$98,ROUNDUP(MAX(0,($A71*손익분기계산기!$B$56+$A71*E$65*손익분기계산기!$B$57)-입력값!$B$96)/입력값!$B$98,0))*입력값!$B$100)*12),입력값!$A$57)-입력값!$A$56)*입력값!$B$57+MAX(0,MAX(0,($A71*E$65*손익분기계산기!$B$54-손익분기계산기!$B$58-IF(입력값!$B$99="비례",MAX(0,($A71*손익분기계산기!$B$56+$A71*E$65*손익분기계산기!$B$57)-입력값!$B$96)/입력값!$B$98,ROUNDUP(MAX(0,($A71*손익분기계산기!$B$56+$A71*E$65*손익분기계산기!$B$57)-입력값!$B$96)/입력값!$B$98,0))*입력값!$B$100)*12)-입력값!$A$57)*입력값!$B$58)*(1+입력값!$B$59)*(1-입력값!$B$60)/12)-MAX(0,(($A71*E$65*손익분기계산기!$B$54-손익분기계산기!$B$58-IF(입력값!$B$99="비례",MAX(0,($A71*손익분기계산기!$B$56+$A71*E$65*손익분기계산기!$B$57)-입력값!$B$96)/입력값!$B$98,ROUNDUP(MAX(0,($A71*손익분기계산기!$B$56+$A71*E$65*손익분기계산기!$B$57)-입력값!$B$96)/입력값!$B$98,0))*입력값!$B$100)-(MIN(MAX(0,($A71*E$65*손익분기계산기!$B$54-손익분기계산기!$B$58-IF(입력값!$B$99="비례",MAX(0,($A71*손익분기계산기!$B$56+$A71*E$65*손익분기계산기!$B$57)-입력값!$B$96)/입력값!$B$98,ROUNDUP(MAX(0,($A71*손익분기계산기!$B$56+$A71*E$65*손익분기계산기!$B$57)-입력값!$B$96)/입력값!$B$98,0))*입력값!$B$100)*12),입력값!$A$55)*입력값!$B$55+MAX(0,MIN(MAX(0,($A71*E$65*손익분기계산기!$B$54-손익분기계산기!$B$58-IF(입력값!$B$99="비례",MAX(0,($A71*손익분기계산기!$B$56+$A71*E$65*손익분기계산기!$B$57)-입력값!$B$96)/입력값!$B$98,ROUNDUP(MAX(0,($A71*손익분기계산기!$B$56+$A71*E$65*손익분기계산기!$B$57)-입력값!$B$96)/입력값!$B$98,0))*입력값!$B$100)*12),입력값!$A$56)-입력값!$A$55)*입력값!$B$56+MAX(0,MIN(MAX(0,($A71*E$65*손익분기계산기!$B$54-손익분기계산기!$B$58-IF(입력값!$B$99="비례",MAX(0,($A71*손익분기계산기!$B$56+$A71*E$65*손익분기계산기!$B$57)-입력값!$B$96)/입력값!$B$98,ROUNDUP(MAX(0,($A71*손익분기계산기!$B$56+$A71*E$65*손익분기계산기!$B$57)-입력값!$B$96)/입력값!$B$98,0))*입력값!$B$100)*12),입력값!$A$57)-입력값!$A$56)*입력값!$B$57+MAX(0,MAX(0,($A71*E$65*손익분기계산기!$B$54-손익분기계산기!$B$58-IF(입력값!$B$99="비례",MAX(0,($A71*손익분기계산기!$B$56+$A71*E$65*손익분기계산기!$B$57)-입력값!$B$96)/입력값!$B$98,ROUNDUP(MAX(0,($A71*손익분기계산기!$B$56+$A71*E$65*손익분기계산기!$B$57)-입력값!$B$96)/입력값!$B$98,0))*입력값!$B$100)*12)-입력값!$A$57)*입력값!$B$58)*(1+입력값!$B$59)*(1-입력값!$B$60)/12))*입력값!$B$64</f>
        <v/>
      </c>
      <c r="F71" s="20">
        <f>(($A71*F$65*손익분기계산기!$B$54-손익분기계산기!$B$58-IF(입력값!$B$99="비례",MAX(0,($A71*손익분기계산기!$B$56+$A71*F$65*손익분기계산기!$B$57)-입력값!$B$96)/입력값!$B$98,ROUNDUP(MAX(0,($A71*손익분기계산기!$B$56+$A71*F$65*손익분기계산기!$B$57)-입력값!$B$96)/입력값!$B$98,0))*입력값!$B$100)-(MIN(MAX(0,($A71*F$65*손익분기계산기!$B$54-손익분기계산기!$B$58-IF(입력값!$B$99="비례",MAX(0,($A71*손익분기계산기!$B$56+$A71*F$65*손익분기계산기!$B$57)-입력값!$B$96)/입력값!$B$98,ROUNDUP(MAX(0,($A71*손익분기계산기!$B$56+$A71*F$65*손익분기계산기!$B$57)-입력값!$B$96)/입력값!$B$98,0))*입력값!$B$100)*12),입력값!$A$55)*입력값!$B$55+MAX(0,MIN(MAX(0,($A71*F$65*손익분기계산기!$B$54-손익분기계산기!$B$58-IF(입력값!$B$99="비례",MAX(0,($A71*손익분기계산기!$B$56+$A71*F$65*손익분기계산기!$B$57)-입력값!$B$96)/입력값!$B$98,ROUNDUP(MAX(0,($A71*손익분기계산기!$B$56+$A71*F$65*손익분기계산기!$B$57)-입력값!$B$96)/입력값!$B$98,0))*입력값!$B$100)*12),입력값!$A$56)-입력값!$A$55)*입력값!$B$56+MAX(0,MIN(MAX(0,($A71*F$65*손익분기계산기!$B$54-손익분기계산기!$B$58-IF(입력값!$B$99="비례",MAX(0,($A71*손익분기계산기!$B$56+$A71*F$65*손익분기계산기!$B$57)-입력값!$B$96)/입력값!$B$98,ROUNDUP(MAX(0,($A71*손익분기계산기!$B$56+$A71*F$65*손익분기계산기!$B$57)-입력값!$B$96)/입력값!$B$98,0))*입력값!$B$100)*12),입력값!$A$57)-입력값!$A$56)*입력값!$B$57+MAX(0,MAX(0,($A71*F$65*손익분기계산기!$B$54-손익분기계산기!$B$58-IF(입력값!$B$99="비례",MAX(0,($A71*손익분기계산기!$B$56+$A71*F$65*손익분기계산기!$B$57)-입력값!$B$96)/입력값!$B$98,ROUNDUP(MAX(0,($A71*손익분기계산기!$B$56+$A71*F$65*손익분기계산기!$B$57)-입력값!$B$96)/입력값!$B$98,0))*입력값!$B$100)*12)-입력값!$A$57)*입력값!$B$58)*(1+입력값!$B$59)*(1-입력값!$B$60)/12)-MAX(0,(($A71*F$65*손익분기계산기!$B$54-손익분기계산기!$B$58-IF(입력값!$B$99="비례",MAX(0,($A71*손익분기계산기!$B$56+$A71*F$65*손익분기계산기!$B$57)-입력값!$B$96)/입력값!$B$98,ROUNDUP(MAX(0,($A71*손익분기계산기!$B$56+$A71*F$65*손익분기계산기!$B$57)-입력값!$B$96)/입력값!$B$98,0))*입력값!$B$100)-(MIN(MAX(0,($A71*F$65*손익분기계산기!$B$54-손익분기계산기!$B$58-IF(입력값!$B$99="비례",MAX(0,($A71*손익분기계산기!$B$56+$A71*F$65*손익분기계산기!$B$57)-입력값!$B$96)/입력값!$B$98,ROUNDUP(MAX(0,($A71*손익분기계산기!$B$56+$A71*F$65*손익분기계산기!$B$57)-입력값!$B$96)/입력값!$B$98,0))*입력값!$B$100)*12),입력값!$A$55)*입력값!$B$55+MAX(0,MIN(MAX(0,($A71*F$65*손익분기계산기!$B$54-손익분기계산기!$B$58-IF(입력값!$B$99="비례",MAX(0,($A71*손익분기계산기!$B$56+$A71*F$65*손익분기계산기!$B$57)-입력값!$B$96)/입력값!$B$98,ROUNDUP(MAX(0,($A71*손익분기계산기!$B$56+$A71*F$65*손익분기계산기!$B$57)-입력값!$B$96)/입력값!$B$98,0))*입력값!$B$100)*12),입력값!$A$56)-입력값!$A$55)*입력값!$B$56+MAX(0,MIN(MAX(0,($A71*F$65*손익분기계산기!$B$54-손익분기계산기!$B$58-IF(입력값!$B$99="비례",MAX(0,($A71*손익분기계산기!$B$56+$A71*F$65*손익분기계산기!$B$57)-입력값!$B$96)/입력값!$B$98,ROUNDUP(MAX(0,($A71*손익분기계산기!$B$56+$A71*F$65*손익분기계산기!$B$57)-입력값!$B$96)/입력값!$B$98,0))*입력값!$B$100)*12),입력값!$A$57)-입력값!$A$56)*입력값!$B$57+MAX(0,MAX(0,($A71*F$65*손익분기계산기!$B$54-손익분기계산기!$B$58-IF(입력값!$B$99="비례",MAX(0,($A71*손익분기계산기!$B$56+$A71*F$65*손익분기계산기!$B$57)-입력값!$B$96)/입력값!$B$98,ROUNDUP(MAX(0,($A71*손익분기계산기!$B$56+$A71*F$65*손익분기계산기!$B$57)-입력값!$B$96)/입력값!$B$98,0))*입력값!$B$100)*12)-입력값!$A$57)*입력값!$B$58)*(1+입력값!$B$59)*(1-입력값!$B$60)/12))*입력값!$B$64</f>
        <v/>
      </c>
      <c r="G71" s="20">
        <f>(($A71*G$65*손익분기계산기!$B$54-손익분기계산기!$B$58-IF(입력값!$B$99="비례",MAX(0,($A71*손익분기계산기!$B$56+$A71*G$65*손익분기계산기!$B$57)-입력값!$B$96)/입력값!$B$98,ROUNDUP(MAX(0,($A71*손익분기계산기!$B$56+$A71*G$65*손익분기계산기!$B$57)-입력값!$B$96)/입력값!$B$98,0))*입력값!$B$100)-(MIN(MAX(0,($A71*G$65*손익분기계산기!$B$54-손익분기계산기!$B$58-IF(입력값!$B$99="비례",MAX(0,($A71*손익분기계산기!$B$56+$A71*G$65*손익분기계산기!$B$57)-입력값!$B$96)/입력값!$B$98,ROUNDUP(MAX(0,($A71*손익분기계산기!$B$56+$A71*G$65*손익분기계산기!$B$57)-입력값!$B$96)/입력값!$B$98,0))*입력값!$B$100)*12),입력값!$A$55)*입력값!$B$55+MAX(0,MIN(MAX(0,($A71*G$65*손익분기계산기!$B$54-손익분기계산기!$B$58-IF(입력값!$B$99="비례",MAX(0,($A71*손익분기계산기!$B$56+$A71*G$65*손익분기계산기!$B$57)-입력값!$B$96)/입력값!$B$98,ROUNDUP(MAX(0,($A71*손익분기계산기!$B$56+$A71*G$65*손익분기계산기!$B$57)-입력값!$B$96)/입력값!$B$98,0))*입력값!$B$100)*12),입력값!$A$56)-입력값!$A$55)*입력값!$B$56+MAX(0,MIN(MAX(0,($A71*G$65*손익분기계산기!$B$54-손익분기계산기!$B$58-IF(입력값!$B$99="비례",MAX(0,($A71*손익분기계산기!$B$56+$A71*G$65*손익분기계산기!$B$57)-입력값!$B$96)/입력값!$B$98,ROUNDUP(MAX(0,($A71*손익분기계산기!$B$56+$A71*G$65*손익분기계산기!$B$57)-입력값!$B$96)/입력값!$B$98,0))*입력값!$B$100)*12),입력값!$A$57)-입력값!$A$56)*입력값!$B$57+MAX(0,MAX(0,($A71*G$65*손익분기계산기!$B$54-손익분기계산기!$B$58-IF(입력값!$B$99="비례",MAX(0,($A71*손익분기계산기!$B$56+$A71*G$65*손익분기계산기!$B$57)-입력값!$B$96)/입력값!$B$98,ROUNDUP(MAX(0,($A71*손익분기계산기!$B$56+$A71*G$65*손익분기계산기!$B$57)-입력값!$B$96)/입력값!$B$98,0))*입력값!$B$100)*12)-입력값!$A$57)*입력값!$B$58)*(1+입력값!$B$59)*(1-입력값!$B$60)/12)-MAX(0,(($A71*G$65*손익분기계산기!$B$54-손익분기계산기!$B$58-IF(입력값!$B$99="비례",MAX(0,($A71*손익분기계산기!$B$56+$A71*G$65*손익분기계산기!$B$57)-입력값!$B$96)/입력값!$B$98,ROUNDUP(MAX(0,($A71*손익분기계산기!$B$56+$A71*G$65*손익분기계산기!$B$57)-입력값!$B$96)/입력값!$B$98,0))*입력값!$B$100)-(MIN(MAX(0,($A71*G$65*손익분기계산기!$B$54-손익분기계산기!$B$58-IF(입력값!$B$99="비례",MAX(0,($A71*손익분기계산기!$B$56+$A71*G$65*손익분기계산기!$B$57)-입력값!$B$96)/입력값!$B$98,ROUNDUP(MAX(0,($A71*손익분기계산기!$B$56+$A71*G$65*손익분기계산기!$B$57)-입력값!$B$96)/입력값!$B$98,0))*입력값!$B$100)*12),입력값!$A$55)*입력값!$B$55+MAX(0,MIN(MAX(0,($A71*G$65*손익분기계산기!$B$54-손익분기계산기!$B$58-IF(입력값!$B$99="비례",MAX(0,($A71*손익분기계산기!$B$56+$A71*G$65*손익분기계산기!$B$57)-입력값!$B$96)/입력값!$B$98,ROUNDUP(MAX(0,($A71*손익분기계산기!$B$56+$A71*G$65*손익분기계산기!$B$57)-입력값!$B$96)/입력값!$B$98,0))*입력값!$B$100)*12),입력값!$A$56)-입력값!$A$55)*입력값!$B$56+MAX(0,MIN(MAX(0,($A71*G$65*손익분기계산기!$B$54-손익분기계산기!$B$58-IF(입력값!$B$99="비례",MAX(0,($A71*손익분기계산기!$B$56+$A71*G$65*손익분기계산기!$B$57)-입력값!$B$96)/입력값!$B$98,ROUNDUP(MAX(0,($A71*손익분기계산기!$B$56+$A71*G$65*손익분기계산기!$B$57)-입력값!$B$96)/입력값!$B$98,0))*입력값!$B$100)*12),입력값!$A$57)-입력값!$A$56)*입력값!$B$57+MAX(0,MAX(0,($A71*G$65*손익분기계산기!$B$54-손익분기계산기!$B$58-IF(입력값!$B$99="비례",MAX(0,($A71*손익분기계산기!$B$56+$A71*G$65*손익분기계산기!$B$57)-입력값!$B$96)/입력값!$B$98,ROUNDUP(MAX(0,($A71*손익분기계산기!$B$56+$A71*G$65*손익분기계산기!$B$57)-입력값!$B$96)/입력값!$B$98,0))*입력값!$B$100)*12)-입력값!$A$57)*입력값!$B$58)*(1+입력값!$B$59)*(1-입력값!$B$60)/12))*입력값!$B$64</f>
        <v/>
      </c>
      <c r="H71" s="20">
        <f>(($A71*H$65*손익분기계산기!$B$54-손익분기계산기!$B$58-IF(입력값!$B$99="비례",MAX(0,($A71*손익분기계산기!$B$56+$A71*H$65*손익분기계산기!$B$57)-입력값!$B$96)/입력값!$B$98,ROUNDUP(MAX(0,($A71*손익분기계산기!$B$56+$A71*H$65*손익분기계산기!$B$57)-입력값!$B$96)/입력값!$B$98,0))*입력값!$B$100)-(MIN(MAX(0,($A71*H$65*손익분기계산기!$B$54-손익분기계산기!$B$58-IF(입력값!$B$99="비례",MAX(0,($A71*손익분기계산기!$B$56+$A71*H$65*손익분기계산기!$B$57)-입력값!$B$96)/입력값!$B$98,ROUNDUP(MAX(0,($A71*손익분기계산기!$B$56+$A71*H$65*손익분기계산기!$B$57)-입력값!$B$96)/입력값!$B$98,0))*입력값!$B$100)*12),입력값!$A$55)*입력값!$B$55+MAX(0,MIN(MAX(0,($A71*H$65*손익분기계산기!$B$54-손익분기계산기!$B$58-IF(입력값!$B$99="비례",MAX(0,($A71*손익분기계산기!$B$56+$A71*H$65*손익분기계산기!$B$57)-입력값!$B$96)/입력값!$B$98,ROUNDUP(MAX(0,($A71*손익분기계산기!$B$56+$A71*H$65*손익분기계산기!$B$57)-입력값!$B$96)/입력값!$B$98,0))*입력값!$B$100)*12),입력값!$A$56)-입력값!$A$55)*입력값!$B$56+MAX(0,MIN(MAX(0,($A71*H$65*손익분기계산기!$B$54-손익분기계산기!$B$58-IF(입력값!$B$99="비례",MAX(0,($A71*손익분기계산기!$B$56+$A71*H$65*손익분기계산기!$B$57)-입력값!$B$96)/입력값!$B$98,ROUNDUP(MAX(0,($A71*손익분기계산기!$B$56+$A71*H$65*손익분기계산기!$B$57)-입력값!$B$96)/입력값!$B$98,0))*입력값!$B$100)*12),입력값!$A$57)-입력값!$A$56)*입력값!$B$57+MAX(0,MAX(0,($A71*H$65*손익분기계산기!$B$54-손익분기계산기!$B$58-IF(입력값!$B$99="비례",MAX(0,($A71*손익분기계산기!$B$56+$A71*H$65*손익분기계산기!$B$57)-입력값!$B$96)/입력값!$B$98,ROUNDUP(MAX(0,($A71*손익분기계산기!$B$56+$A71*H$65*손익분기계산기!$B$57)-입력값!$B$96)/입력값!$B$98,0))*입력값!$B$100)*12)-입력값!$A$57)*입력값!$B$58)*(1+입력값!$B$59)*(1-입력값!$B$60)/12)-MAX(0,(($A71*H$65*손익분기계산기!$B$54-손익분기계산기!$B$58-IF(입력값!$B$99="비례",MAX(0,($A71*손익분기계산기!$B$56+$A71*H$65*손익분기계산기!$B$57)-입력값!$B$96)/입력값!$B$98,ROUNDUP(MAX(0,($A71*손익분기계산기!$B$56+$A71*H$65*손익분기계산기!$B$57)-입력값!$B$96)/입력값!$B$98,0))*입력값!$B$100)-(MIN(MAX(0,($A71*H$65*손익분기계산기!$B$54-손익분기계산기!$B$58-IF(입력값!$B$99="비례",MAX(0,($A71*손익분기계산기!$B$56+$A71*H$65*손익분기계산기!$B$57)-입력값!$B$96)/입력값!$B$98,ROUNDUP(MAX(0,($A71*손익분기계산기!$B$56+$A71*H$65*손익분기계산기!$B$57)-입력값!$B$96)/입력값!$B$98,0))*입력값!$B$100)*12),입력값!$A$55)*입력값!$B$55+MAX(0,MIN(MAX(0,($A71*H$65*손익분기계산기!$B$54-손익분기계산기!$B$58-IF(입력값!$B$99="비례",MAX(0,($A71*손익분기계산기!$B$56+$A71*H$65*손익분기계산기!$B$57)-입력값!$B$96)/입력값!$B$98,ROUNDUP(MAX(0,($A71*손익분기계산기!$B$56+$A71*H$65*손익분기계산기!$B$57)-입력값!$B$96)/입력값!$B$98,0))*입력값!$B$100)*12),입력값!$A$56)-입력값!$A$55)*입력값!$B$56+MAX(0,MIN(MAX(0,($A71*H$65*손익분기계산기!$B$54-손익분기계산기!$B$58-IF(입력값!$B$99="비례",MAX(0,($A71*손익분기계산기!$B$56+$A71*H$65*손익분기계산기!$B$57)-입력값!$B$96)/입력값!$B$98,ROUNDUP(MAX(0,($A71*손익분기계산기!$B$56+$A71*H$65*손익분기계산기!$B$57)-입력값!$B$96)/입력값!$B$98,0))*입력값!$B$100)*12),입력값!$A$57)-입력값!$A$56)*입력값!$B$57+MAX(0,MAX(0,($A71*H$65*손익분기계산기!$B$54-손익분기계산기!$B$58-IF(입력값!$B$99="비례",MAX(0,($A71*손익분기계산기!$B$56+$A71*H$65*손익분기계산기!$B$57)-입력값!$B$96)/입력값!$B$98,ROUNDUP(MAX(0,($A71*손익분기계산기!$B$56+$A71*H$65*손익분기계산기!$B$57)-입력값!$B$96)/입력값!$B$98,0))*입력값!$B$100)*12)-입력값!$A$57)*입력값!$B$58)*(1+입력값!$B$59)*(1-입력값!$B$60)/12))*입력값!$B$64</f>
        <v/>
      </c>
      <c r="I71" s="20">
        <f>(($A71*I$65*손익분기계산기!$B$54-손익분기계산기!$B$58-IF(입력값!$B$99="비례",MAX(0,($A71*손익분기계산기!$B$56+$A71*I$65*손익분기계산기!$B$57)-입력값!$B$96)/입력값!$B$98,ROUNDUP(MAX(0,($A71*손익분기계산기!$B$56+$A71*I$65*손익분기계산기!$B$57)-입력값!$B$96)/입력값!$B$98,0))*입력값!$B$100)-(MIN(MAX(0,($A71*I$65*손익분기계산기!$B$54-손익분기계산기!$B$58-IF(입력값!$B$99="비례",MAX(0,($A71*손익분기계산기!$B$56+$A71*I$65*손익분기계산기!$B$57)-입력값!$B$96)/입력값!$B$98,ROUNDUP(MAX(0,($A71*손익분기계산기!$B$56+$A71*I$65*손익분기계산기!$B$57)-입력값!$B$96)/입력값!$B$98,0))*입력값!$B$100)*12),입력값!$A$55)*입력값!$B$55+MAX(0,MIN(MAX(0,($A71*I$65*손익분기계산기!$B$54-손익분기계산기!$B$58-IF(입력값!$B$99="비례",MAX(0,($A71*손익분기계산기!$B$56+$A71*I$65*손익분기계산기!$B$57)-입력값!$B$96)/입력값!$B$98,ROUNDUP(MAX(0,($A71*손익분기계산기!$B$56+$A71*I$65*손익분기계산기!$B$57)-입력값!$B$96)/입력값!$B$98,0))*입력값!$B$100)*12),입력값!$A$56)-입력값!$A$55)*입력값!$B$56+MAX(0,MIN(MAX(0,($A71*I$65*손익분기계산기!$B$54-손익분기계산기!$B$58-IF(입력값!$B$99="비례",MAX(0,($A71*손익분기계산기!$B$56+$A71*I$65*손익분기계산기!$B$57)-입력값!$B$96)/입력값!$B$98,ROUNDUP(MAX(0,($A71*손익분기계산기!$B$56+$A71*I$65*손익분기계산기!$B$57)-입력값!$B$96)/입력값!$B$98,0))*입력값!$B$100)*12),입력값!$A$57)-입력값!$A$56)*입력값!$B$57+MAX(0,MAX(0,($A71*I$65*손익분기계산기!$B$54-손익분기계산기!$B$58-IF(입력값!$B$99="비례",MAX(0,($A71*손익분기계산기!$B$56+$A71*I$65*손익분기계산기!$B$57)-입력값!$B$96)/입력값!$B$98,ROUNDUP(MAX(0,($A71*손익분기계산기!$B$56+$A71*I$65*손익분기계산기!$B$57)-입력값!$B$96)/입력값!$B$98,0))*입력값!$B$100)*12)-입력값!$A$57)*입력값!$B$58)*(1+입력값!$B$59)*(1-입력값!$B$60)/12)-MAX(0,(($A71*I$65*손익분기계산기!$B$54-손익분기계산기!$B$58-IF(입력값!$B$99="비례",MAX(0,($A71*손익분기계산기!$B$56+$A71*I$65*손익분기계산기!$B$57)-입력값!$B$96)/입력값!$B$98,ROUNDUP(MAX(0,($A71*손익분기계산기!$B$56+$A71*I$65*손익분기계산기!$B$57)-입력값!$B$96)/입력값!$B$98,0))*입력값!$B$100)-(MIN(MAX(0,($A71*I$65*손익분기계산기!$B$54-손익분기계산기!$B$58-IF(입력값!$B$99="비례",MAX(0,($A71*손익분기계산기!$B$56+$A71*I$65*손익분기계산기!$B$57)-입력값!$B$96)/입력값!$B$98,ROUNDUP(MAX(0,($A71*손익분기계산기!$B$56+$A71*I$65*손익분기계산기!$B$57)-입력값!$B$96)/입력값!$B$98,0))*입력값!$B$100)*12),입력값!$A$55)*입력값!$B$55+MAX(0,MIN(MAX(0,($A71*I$65*손익분기계산기!$B$54-손익분기계산기!$B$58-IF(입력값!$B$99="비례",MAX(0,($A71*손익분기계산기!$B$56+$A71*I$65*손익분기계산기!$B$57)-입력값!$B$96)/입력값!$B$98,ROUNDUP(MAX(0,($A71*손익분기계산기!$B$56+$A71*I$65*손익분기계산기!$B$57)-입력값!$B$96)/입력값!$B$98,0))*입력값!$B$100)*12),입력값!$A$56)-입력값!$A$55)*입력값!$B$56+MAX(0,MIN(MAX(0,($A71*I$65*손익분기계산기!$B$54-손익분기계산기!$B$58-IF(입력값!$B$99="비례",MAX(0,($A71*손익분기계산기!$B$56+$A71*I$65*손익분기계산기!$B$57)-입력값!$B$96)/입력값!$B$98,ROUNDUP(MAX(0,($A71*손익분기계산기!$B$56+$A71*I$65*손익분기계산기!$B$57)-입력값!$B$96)/입력값!$B$98,0))*입력값!$B$100)*12),입력값!$A$57)-입력값!$A$56)*입력값!$B$57+MAX(0,MAX(0,($A71*I$65*손익분기계산기!$B$54-손익분기계산기!$B$58-IF(입력값!$B$99="비례",MAX(0,($A71*손익분기계산기!$B$56+$A71*I$65*손익분기계산기!$B$57)-입력값!$B$96)/입력값!$B$98,ROUNDUP(MAX(0,($A71*손익분기계산기!$B$56+$A71*I$65*손익분기계산기!$B$57)-입력값!$B$96)/입력값!$B$98,0))*입력값!$B$100)*12)-입력값!$A$57)*입력값!$B$58)*(1+입력값!$B$59)*(1-입력값!$B$60)/12))*입력값!$B$64</f>
        <v/>
      </c>
    </row>
    <row r="72">
      <c r="A72" s="24" t="n">
        <v>40</v>
      </c>
      <c r="B72" s="20">
        <f>(($A72*B$65*손익분기계산기!$B$54-손익분기계산기!$B$58-IF(입력값!$B$99="비례",MAX(0,($A72*손익분기계산기!$B$56+$A72*B$65*손익분기계산기!$B$57)-입력값!$B$96)/입력값!$B$98,ROUNDUP(MAX(0,($A72*손익분기계산기!$B$56+$A72*B$65*손익분기계산기!$B$57)-입력값!$B$96)/입력값!$B$98,0))*입력값!$B$100)-(MIN(MAX(0,($A72*B$65*손익분기계산기!$B$54-손익분기계산기!$B$58-IF(입력값!$B$99="비례",MAX(0,($A72*손익분기계산기!$B$56+$A72*B$65*손익분기계산기!$B$57)-입력값!$B$96)/입력값!$B$98,ROUNDUP(MAX(0,($A72*손익분기계산기!$B$56+$A72*B$65*손익분기계산기!$B$57)-입력값!$B$96)/입력값!$B$98,0))*입력값!$B$100)*12),입력값!$A$55)*입력값!$B$55+MAX(0,MIN(MAX(0,($A72*B$65*손익분기계산기!$B$54-손익분기계산기!$B$58-IF(입력값!$B$99="비례",MAX(0,($A72*손익분기계산기!$B$56+$A72*B$65*손익분기계산기!$B$57)-입력값!$B$96)/입력값!$B$98,ROUNDUP(MAX(0,($A72*손익분기계산기!$B$56+$A72*B$65*손익분기계산기!$B$57)-입력값!$B$96)/입력값!$B$98,0))*입력값!$B$100)*12),입력값!$A$56)-입력값!$A$55)*입력값!$B$56+MAX(0,MIN(MAX(0,($A72*B$65*손익분기계산기!$B$54-손익분기계산기!$B$58-IF(입력값!$B$99="비례",MAX(0,($A72*손익분기계산기!$B$56+$A72*B$65*손익분기계산기!$B$57)-입력값!$B$96)/입력값!$B$98,ROUNDUP(MAX(0,($A72*손익분기계산기!$B$56+$A72*B$65*손익분기계산기!$B$57)-입력값!$B$96)/입력값!$B$98,0))*입력값!$B$100)*12),입력값!$A$57)-입력값!$A$56)*입력값!$B$57+MAX(0,MAX(0,($A72*B$65*손익분기계산기!$B$54-손익분기계산기!$B$58-IF(입력값!$B$99="비례",MAX(0,($A72*손익분기계산기!$B$56+$A72*B$65*손익분기계산기!$B$57)-입력값!$B$96)/입력값!$B$98,ROUNDUP(MAX(0,($A72*손익분기계산기!$B$56+$A72*B$65*손익분기계산기!$B$57)-입력값!$B$96)/입력값!$B$98,0))*입력값!$B$100)*12)-입력값!$A$57)*입력값!$B$58)*(1+입력값!$B$59)*(1-입력값!$B$60)/12)-MAX(0,(($A72*B$65*손익분기계산기!$B$54-손익분기계산기!$B$58-IF(입력값!$B$99="비례",MAX(0,($A72*손익분기계산기!$B$56+$A72*B$65*손익분기계산기!$B$57)-입력값!$B$96)/입력값!$B$98,ROUNDUP(MAX(0,($A72*손익분기계산기!$B$56+$A72*B$65*손익분기계산기!$B$57)-입력값!$B$96)/입력값!$B$98,0))*입력값!$B$100)-(MIN(MAX(0,($A72*B$65*손익분기계산기!$B$54-손익분기계산기!$B$58-IF(입력값!$B$99="비례",MAX(0,($A72*손익분기계산기!$B$56+$A72*B$65*손익분기계산기!$B$57)-입력값!$B$96)/입력값!$B$98,ROUNDUP(MAX(0,($A72*손익분기계산기!$B$56+$A72*B$65*손익분기계산기!$B$57)-입력값!$B$96)/입력값!$B$98,0))*입력값!$B$100)*12),입력값!$A$55)*입력값!$B$55+MAX(0,MIN(MAX(0,($A72*B$65*손익분기계산기!$B$54-손익분기계산기!$B$58-IF(입력값!$B$99="비례",MAX(0,($A72*손익분기계산기!$B$56+$A72*B$65*손익분기계산기!$B$57)-입력값!$B$96)/입력값!$B$98,ROUNDUP(MAX(0,($A72*손익분기계산기!$B$56+$A72*B$65*손익분기계산기!$B$57)-입력값!$B$96)/입력값!$B$98,0))*입력값!$B$100)*12),입력값!$A$56)-입력값!$A$55)*입력값!$B$56+MAX(0,MIN(MAX(0,($A72*B$65*손익분기계산기!$B$54-손익분기계산기!$B$58-IF(입력값!$B$99="비례",MAX(0,($A72*손익분기계산기!$B$56+$A72*B$65*손익분기계산기!$B$57)-입력값!$B$96)/입력값!$B$98,ROUNDUP(MAX(0,($A72*손익분기계산기!$B$56+$A72*B$65*손익분기계산기!$B$57)-입력값!$B$96)/입력값!$B$98,0))*입력값!$B$100)*12),입력값!$A$57)-입력값!$A$56)*입력값!$B$57+MAX(0,MAX(0,($A72*B$65*손익분기계산기!$B$54-손익분기계산기!$B$58-IF(입력값!$B$99="비례",MAX(0,($A72*손익분기계산기!$B$56+$A72*B$65*손익분기계산기!$B$57)-입력값!$B$96)/입력값!$B$98,ROUNDUP(MAX(0,($A72*손익분기계산기!$B$56+$A72*B$65*손익분기계산기!$B$57)-입력값!$B$96)/입력값!$B$98,0))*입력값!$B$100)*12)-입력값!$A$57)*입력값!$B$58)*(1+입력값!$B$59)*(1-입력값!$B$60)/12))*입력값!$B$64</f>
        <v/>
      </c>
      <c r="C72" s="20">
        <f>(($A72*C$65*손익분기계산기!$B$54-손익분기계산기!$B$58-IF(입력값!$B$99="비례",MAX(0,($A72*손익분기계산기!$B$56+$A72*C$65*손익분기계산기!$B$57)-입력값!$B$96)/입력값!$B$98,ROUNDUP(MAX(0,($A72*손익분기계산기!$B$56+$A72*C$65*손익분기계산기!$B$57)-입력값!$B$96)/입력값!$B$98,0))*입력값!$B$100)-(MIN(MAX(0,($A72*C$65*손익분기계산기!$B$54-손익분기계산기!$B$58-IF(입력값!$B$99="비례",MAX(0,($A72*손익분기계산기!$B$56+$A72*C$65*손익분기계산기!$B$57)-입력값!$B$96)/입력값!$B$98,ROUNDUP(MAX(0,($A72*손익분기계산기!$B$56+$A72*C$65*손익분기계산기!$B$57)-입력값!$B$96)/입력값!$B$98,0))*입력값!$B$100)*12),입력값!$A$55)*입력값!$B$55+MAX(0,MIN(MAX(0,($A72*C$65*손익분기계산기!$B$54-손익분기계산기!$B$58-IF(입력값!$B$99="비례",MAX(0,($A72*손익분기계산기!$B$56+$A72*C$65*손익분기계산기!$B$57)-입력값!$B$96)/입력값!$B$98,ROUNDUP(MAX(0,($A72*손익분기계산기!$B$56+$A72*C$65*손익분기계산기!$B$57)-입력값!$B$96)/입력값!$B$98,0))*입력값!$B$100)*12),입력값!$A$56)-입력값!$A$55)*입력값!$B$56+MAX(0,MIN(MAX(0,($A72*C$65*손익분기계산기!$B$54-손익분기계산기!$B$58-IF(입력값!$B$99="비례",MAX(0,($A72*손익분기계산기!$B$56+$A72*C$65*손익분기계산기!$B$57)-입력값!$B$96)/입력값!$B$98,ROUNDUP(MAX(0,($A72*손익분기계산기!$B$56+$A72*C$65*손익분기계산기!$B$57)-입력값!$B$96)/입력값!$B$98,0))*입력값!$B$100)*12),입력값!$A$57)-입력값!$A$56)*입력값!$B$57+MAX(0,MAX(0,($A72*C$65*손익분기계산기!$B$54-손익분기계산기!$B$58-IF(입력값!$B$99="비례",MAX(0,($A72*손익분기계산기!$B$56+$A72*C$65*손익분기계산기!$B$57)-입력값!$B$96)/입력값!$B$98,ROUNDUP(MAX(0,($A72*손익분기계산기!$B$56+$A72*C$65*손익분기계산기!$B$57)-입력값!$B$96)/입력값!$B$98,0))*입력값!$B$100)*12)-입력값!$A$57)*입력값!$B$58)*(1+입력값!$B$59)*(1-입력값!$B$60)/12)-MAX(0,(($A72*C$65*손익분기계산기!$B$54-손익분기계산기!$B$58-IF(입력값!$B$99="비례",MAX(0,($A72*손익분기계산기!$B$56+$A72*C$65*손익분기계산기!$B$57)-입력값!$B$96)/입력값!$B$98,ROUNDUP(MAX(0,($A72*손익분기계산기!$B$56+$A72*C$65*손익분기계산기!$B$57)-입력값!$B$96)/입력값!$B$98,0))*입력값!$B$100)-(MIN(MAX(0,($A72*C$65*손익분기계산기!$B$54-손익분기계산기!$B$58-IF(입력값!$B$99="비례",MAX(0,($A72*손익분기계산기!$B$56+$A72*C$65*손익분기계산기!$B$57)-입력값!$B$96)/입력값!$B$98,ROUNDUP(MAX(0,($A72*손익분기계산기!$B$56+$A72*C$65*손익분기계산기!$B$57)-입력값!$B$96)/입력값!$B$98,0))*입력값!$B$100)*12),입력값!$A$55)*입력값!$B$55+MAX(0,MIN(MAX(0,($A72*C$65*손익분기계산기!$B$54-손익분기계산기!$B$58-IF(입력값!$B$99="비례",MAX(0,($A72*손익분기계산기!$B$56+$A72*C$65*손익분기계산기!$B$57)-입력값!$B$96)/입력값!$B$98,ROUNDUP(MAX(0,($A72*손익분기계산기!$B$56+$A72*C$65*손익분기계산기!$B$57)-입력값!$B$96)/입력값!$B$98,0))*입력값!$B$100)*12),입력값!$A$56)-입력값!$A$55)*입력값!$B$56+MAX(0,MIN(MAX(0,($A72*C$65*손익분기계산기!$B$54-손익분기계산기!$B$58-IF(입력값!$B$99="비례",MAX(0,($A72*손익분기계산기!$B$56+$A72*C$65*손익분기계산기!$B$57)-입력값!$B$96)/입력값!$B$98,ROUNDUP(MAX(0,($A72*손익분기계산기!$B$56+$A72*C$65*손익분기계산기!$B$57)-입력값!$B$96)/입력값!$B$98,0))*입력값!$B$100)*12),입력값!$A$57)-입력값!$A$56)*입력값!$B$57+MAX(0,MAX(0,($A72*C$65*손익분기계산기!$B$54-손익분기계산기!$B$58-IF(입력값!$B$99="비례",MAX(0,($A72*손익분기계산기!$B$56+$A72*C$65*손익분기계산기!$B$57)-입력값!$B$96)/입력값!$B$98,ROUNDUP(MAX(0,($A72*손익분기계산기!$B$56+$A72*C$65*손익분기계산기!$B$57)-입력값!$B$96)/입력값!$B$98,0))*입력값!$B$100)*12)-입력값!$A$57)*입력값!$B$58)*(1+입력값!$B$59)*(1-입력값!$B$60)/12))*입력값!$B$64</f>
        <v/>
      </c>
      <c r="D72" s="20">
        <f>(($A72*D$65*손익분기계산기!$B$54-손익분기계산기!$B$58-IF(입력값!$B$99="비례",MAX(0,($A72*손익분기계산기!$B$56+$A72*D$65*손익분기계산기!$B$57)-입력값!$B$96)/입력값!$B$98,ROUNDUP(MAX(0,($A72*손익분기계산기!$B$56+$A72*D$65*손익분기계산기!$B$57)-입력값!$B$96)/입력값!$B$98,0))*입력값!$B$100)-(MIN(MAX(0,($A72*D$65*손익분기계산기!$B$54-손익분기계산기!$B$58-IF(입력값!$B$99="비례",MAX(0,($A72*손익분기계산기!$B$56+$A72*D$65*손익분기계산기!$B$57)-입력값!$B$96)/입력값!$B$98,ROUNDUP(MAX(0,($A72*손익분기계산기!$B$56+$A72*D$65*손익분기계산기!$B$57)-입력값!$B$96)/입력값!$B$98,0))*입력값!$B$100)*12),입력값!$A$55)*입력값!$B$55+MAX(0,MIN(MAX(0,($A72*D$65*손익분기계산기!$B$54-손익분기계산기!$B$58-IF(입력값!$B$99="비례",MAX(0,($A72*손익분기계산기!$B$56+$A72*D$65*손익분기계산기!$B$57)-입력값!$B$96)/입력값!$B$98,ROUNDUP(MAX(0,($A72*손익분기계산기!$B$56+$A72*D$65*손익분기계산기!$B$57)-입력값!$B$96)/입력값!$B$98,0))*입력값!$B$100)*12),입력값!$A$56)-입력값!$A$55)*입력값!$B$56+MAX(0,MIN(MAX(0,($A72*D$65*손익분기계산기!$B$54-손익분기계산기!$B$58-IF(입력값!$B$99="비례",MAX(0,($A72*손익분기계산기!$B$56+$A72*D$65*손익분기계산기!$B$57)-입력값!$B$96)/입력값!$B$98,ROUNDUP(MAX(0,($A72*손익분기계산기!$B$56+$A72*D$65*손익분기계산기!$B$57)-입력값!$B$96)/입력값!$B$98,0))*입력값!$B$100)*12),입력값!$A$57)-입력값!$A$56)*입력값!$B$57+MAX(0,MAX(0,($A72*D$65*손익분기계산기!$B$54-손익분기계산기!$B$58-IF(입력값!$B$99="비례",MAX(0,($A72*손익분기계산기!$B$56+$A72*D$65*손익분기계산기!$B$57)-입력값!$B$96)/입력값!$B$98,ROUNDUP(MAX(0,($A72*손익분기계산기!$B$56+$A72*D$65*손익분기계산기!$B$57)-입력값!$B$96)/입력값!$B$98,0))*입력값!$B$100)*12)-입력값!$A$57)*입력값!$B$58)*(1+입력값!$B$59)*(1-입력값!$B$60)/12)-MAX(0,(($A72*D$65*손익분기계산기!$B$54-손익분기계산기!$B$58-IF(입력값!$B$99="비례",MAX(0,($A72*손익분기계산기!$B$56+$A72*D$65*손익분기계산기!$B$57)-입력값!$B$96)/입력값!$B$98,ROUNDUP(MAX(0,($A72*손익분기계산기!$B$56+$A72*D$65*손익분기계산기!$B$57)-입력값!$B$96)/입력값!$B$98,0))*입력값!$B$100)-(MIN(MAX(0,($A72*D$65*손익분기계산기!$B$54-손익분기계산기!$B$58-IF(입력값!$B$99="비례",MAX(0,($A72*손익분기계산기!$B$56+$A72*D$65*손익분기계산기!$B$57)-입력값!$B$96)/입력값!$B$98,ROUNDUP(MAX(0,($A72*손익분기계산기!$B$56+$A72*D$65*손익분기계산기!$B$57)-입력값!$B$96)/입력값!$B$98,0))*입력값!$B$100)*12),입력값!$A$55)*입력값!$B$55+MAX(0,MIN(MAX(0,($A72*D$65*손익분기계산기!$B$54-손익분기계산기!$B$58-IF(입력값!$B$99="비례",MAX(0,($A72*손익분기계산기!$B$56+$A72*D$65*손익분기계산기!$B$57)-입력값!$B$96)/입력값!$B$98,ROUNDUP(MAX(0,($A72*손익분기계산기!$B$56+$A72*D$65*손익분기계산기!$B$57)-입력값!$B$96)/입력값!$B$98,0))*입력값!$B$100)*12),입력값!$A$56)-입력값!$A$55)*입력값!$B$56+MAX(0,MIN(MAX(0,($A72*D$65*손익분기계산기!$B$54-손익분기계산기!$B$58-IF(입력값!$B$99="비례",MAX(0,($A72*손익분기계산기!$B$56+$A72*D$65*손익분기계산기!$B$57)-입력값!$B$96)/입력값!$B$98,ROUNDUP(MAX(0,($A72*손익분기계산기!$B$56+$A72*D$65*손익분기계산기!$B$57)-입력값!$B$96)/입력값!$B$98,0))*입력값!$B$100)*12),입력값!$A$57)-입력값!$A$56)*입력값!$B$57+MAX(0,MAX(0,($A72*D$65*손익분기계산기!$B$54-손익분기계산기!$B$58-IF(입력값!$B$99="비례",MAX(0,($A72*손익분기계산기!$B$56+$A72*D$65*손익분기계산기!$B$57)-입력값!$B$96)/입력값!$B$98,ROUNDUP(MAX(0,($A72*손익분기계산기!$B$56+$A72*D$65*손익분기계산기!$B$57)-입력값!$B$96)/입력값!$B$98,0))*입력값!$B$100)*12)-입력값!$A$57)*입력값!$B$58)*(1+입력값!$B$59)*(1-입력값!$B$60)/12))*입력값!$B$64</f>
        <v/>
      </c>
      <c r="E72" s="20">
        <f>(($A72*E$65*손익분기계산기!$B$54-손익분기계산기!$B$58-IF(입력값!$B$99="비례",MAX(0,($A72*손익분기계산기!$B$56+$A72*E$65*손익분기계산기!$B$57)-입력값!$B$96)/입력값!$B$98,ROUNDUP(MAX(0,($A72*손익분기계산기!$B$56+$A72*E$65*손익분기계산기!$B$57)-입력값!$B$96)/입력값!$B$98,0))*입력값!$B$100)-(MIN(MAX(0,($A72*E$65*손익분기계산기!$B$54-손익분기계산기!$B$58-IF(입력값!$B$99="비례",MAX(0,($A72*손익분기계산기!$B$56+$A72*E$65*손익분기계산기!$B$57)-입력값!$B$96)/입력값!$B$98,ROUNDUP(MAX(0,($A72*손익분기계산기!$B$56+$A72*E$65*손익분기계산기!$B$57)-입력값!$B$96)/입력값!$B$98,0))*입력값!$B$100)*12),입력값!$A$55)*입력값!$B$55+MAX(0,MIN(MAX(0,($A72*E$65*손익분기계산기!$B$54-손익분기계산기!$B$58-IF(입력값!$B$99="비례",MAX(0,($A72*손익분기계산기!$B$56+$A72*E$65*손익분기계산기!$B$57)-입력값!$B$96)/입력값!$B$98,ROUNDUP(MAX(0,($A72*손익분기계산기!$B$56+$A72*E$65*손익분기계산기!$B$57)-입력값!$B$96)/입력값!$B$98,0))*입력값!$B$100)*12),입력값!$A$56)-입력값!$A$55)*입력값!$B$56+MAX(0,MIN(MAX(0,($A72*E$65*손익분기계산기!$B$54-손익분기계산기!$B$58-IF(입력값!$B$99="비례",MAX(0,($A72*손익분기계산기!$B$56+$A72*E$65*손익분기계산기!$B$57)-입력값!$B$96)/입력값!$B$98,ROUNDUP(MAX(0,($A72*손익분기계산기!$B$56+$A72*E$65*손익분기계산기!$B$57)-입력값!$B$96)/입력값!$B$98,0))*입력값!$B$100)*12),입력값!$A$57)-입력값!$A$56)*입력값!$B$57+MAX(0,MAX(0,($A72*E$65*손익분기계산기!$B$54-손익분기계산기!$B$58-IF(입력값!$B$99="비례",MAX(0,($A72*손익분기계산기!$B$56+$A72*E$65*손익분기계산기!$B$57)-입력값!$B$96)/입력값!$B$98,ROUNDUP(MAX(0,($A72*손익분기계산기!$B$56+$A72*E$65*손익분기계산기!$B$57)-입력값!$B$96)/입력값!$B$98,0))*입력값!$B$100)*12)-입력값!$A$57)*입력값!$B$58)*(1+입력값!$B$59)*(1-입력값!$B$60)/12)-MAX(0,(($A72*E$65*손익분기계산기!$B$54-손익분기계산기!$B$58-IF(입력값!$B$99="비례",MAX(0,($A72*손익분기계산기!$B$56+$A72*E$65*손익분기계산기!$B$57)-입력값!$B$96)/입력값!$B$98,ROUNDUP(MAX(0,($A72*손익분기계산기!$B$56+$A72*E$65*손익분기계산기!$B$57)-입력값!$B$96)/입력값!$B$98,0))*입력값!$B$100)-(MIN(MAX(0,($A72*E$65*손익분기계산기!$B$54-손익분기계산기!$B$58-IF(입력값!$B$99="비례",MAX(0,($A72*손익분기계산기!$B$56+$A72*E$65*손익분기계산기!$B$57)-입력값!$B$96)/입력값!$B$98,ROUNDUP(MAX(0,($A72*손익분기계산기!$B$56+$A72*E$65*손익분기계산기!$B$57)-입력값!$B$96)/입력값!$B$98,0))*입력값!$B$100)*12),입력값!$A$55)*입력값!$B$55+MAX(0,MIN(MAX(0,($A72*E$65*손익분기계산기!$B$54-손익분기계산기!$B$58-IF(입력값!$B$99="비례",MAX(0,($A72*손익분기계산기!$B$56+$A72*E$65*손익분기계산기!$B$57)-입력값!$B$96)/입력값!$B$98,ROUNDUP(MAX(0,($A72*손익분기계산기!$B$56+$A72*E$65*손익분기계산기!$B$57)-입력값!$B$96)/입력값!$B$98,0))*입력값!$B$100)*12),입력값!$A$56)-입력값!$A$55)*입력값!$B$56+MAX(0,MIN(MAX(0,($A72*E$65*손익분기계산기!$B$54-손익분기계산기!$B$58-IF(입력값!$B$99="비례",MAX(0,($A72*손익분기계산기!$B$56+$A72*E$65*손익분기계산기!$B$57)-입력값!$B$96)/입력값!$B$98,ROUNDUP(MAX(0,($A72*손익분기계산기!$B$56+$A72*E$65*손익분기계산기!$B$57)-입력값!$B$96)/입력값!$B$98,0))*입력값!$B$100)*12),입력값!$A$57)-입력값!$A$56)*입력값!$B$57+MAX(0,MAX(0,($A72*E$65*손익분기계산기!$B$54-손익분기계산기!$B$58-IF(입력값!$B$99="비례",MAX(0,($A72*손익분기계산기!$B$56+$A72*E$65*손익분기계산기!$B$57)-입력값!$B$96)/입력값!$B$98,ROUNDUP(MAX(0,($A72*손익분기계산기!$B$56+$A72*E$65*손익분기계산기!$B$57)-입력값!$B$96)/입력값!$B$98,0))*입력값!$B$100)*12)-입력값!$A$57)*입력값!$B$58)*(1+입력값!$B$59)*(1-입력값!$B$60)/12))*입력값!$B$64</f>
        <v/>
      </c>
      <c r="F72" s="20">
        <f>(($A72*F$65*손익분기계산기!$B$54-손익분기계산기!$B$58-IF(입력값!$B$99="비례",MAX(0,($A72*손익분기계산기!$B$56+$A72*F$65*손익분기계산기!$B$57)-입력값!$B$96)/입력값!$B$98,ROUNDUP(MAX(0,($A72*손익분기계산기!$B$56+$A72*F$65*손익분기계산기!$B$57)-입력값!$B$96)/입력값!$B$98,0))*입력값!$B$100)-(MIN(MAX(0,($A72*F$65*손익분기계산기!$B$54-손익분기계산기!$B$58-IF(입력값!$B$99="비례",MAX(0,($A72*손익분기계산기!$B$56+$A72*F$65*손익분기계산기!$B$57)-입력값!$B$96)/입력값!$B$98,ROUNDUP(MAX(0,($A72*손익분기계산기!$B$56+$A72*F$65*손익분기계산기!$B$57)-입력값!$B$96)/입력값!$B$98,0))*입력값!$B$100)*12),입력값!$A$55)*입력값!$B$55+MAX(0,MIN(MAX(0,($A72*F$65*손익분기계산기!$B$54-손익분기계산기!$B$58-IF(입력값!$B$99="비례",MAX(0,($A72*손익분기계산기!$B$56+$A72*F$65*손익분기계산기!$B$57)-입력값!$B$96)/입력값!$B$98,ROUNDUP(MAX(0,($A72*손익분기계산기!$B$56+$A72*F$65*손익분기계산기!$B$57)-입력값!$B$96)/입력값!$B$98,0))*입력값!$B$100)*12),입력값!$A$56)-입력값!$A$55)*입력값!$B$56+MAX(0,MIN(MAX(0,($A72*F$65*손익분기계산기!$B$54-손익분기계산기!$B$58-IF(입력값!$B$99="비례",MAX(0,($A72*손익분기계산기!$B$56+$A72*F$65*손익분기계산기!$B$57)-입력값!$B$96)/입력값!$B$98,ROUNDUP(MAX(0,($A72*손익분기계산기!$B$56+$A72*F$65*손익분기계산기!$B$57)-입력값!$B$96)/입력값!$B$98,0))*입력값!$B$100)*12),입력값!$A$57)-입력값!$A$56)*입력값!$B$57+MAX(0,MAX(0,($A72*F$65*손익분기계산기!$B$54-손익분기계산기!$B$58-IF(입력값!$B$99="비례",MAX(0,($A72*손익분기계산기!$B$56+$A72*F$65*손익분기계산기!$B$57)-입력값!$B$96)/입력값!$B$98,ROUNDUP(MAX(0,($A72*손익분기계산기!$B$56+$A72*F$65*손익분기계산기!$B$57)-입력값!$B$96)/입력값!$B$98,0))*입력값!$B$100)*12)-입력값!$A$57)*입력값!$B$58)*(1+입력값!$B$59)*(1-입력값!$B$60)/12)-MAX(0,(($A72*F$65*손익분기계산기!$B$54-손익분기계산기!$B$58-IF(입력값!$B$99="비례",MAX(0,($A72*손익분기계산기!$B$56+$A72*F$65*손익분기계산기!$B$57)-입력값!$B$96)/입력값!$B$98,ROUNDUP(MAX(0,($A72*손익분기계산기!$B$56+$A72*F$65*손익분기계산기!$B$57)-입력값!$B$96)/입력값!$B$98,0))*입력값!$B$100)-(MIN(MAX(0,($A72*F$65*손익분기계산기!$B$54-손익분기계산기!$B$58-IF(입력값!$B$99="비례",MAX(0,($A72*손익분기계산기!$B$56+$A72*F$65*손익분기계산기!$B$57)-입력값!$B$96)/입력값!$B$98,ROUNDUP(MAX(0,($A72*손익분기계산기!$B$56+$A72*F$65*손익분기계산기!$B$57)-입력값!$B$96)/입력값!$B$98,0))*입력값!$B$100)*12),입력값!$A$55)*입력값!$B$55+MAX(0,MIN(MAX(0,($A72*F$65*손익분기계산기!$B$54-손익분기계산기!$B$58-IF(입력값!$B$99="비례",MAX(0,($A72*손익분기계산기!$B$56+$A72*F$65*손익분기계산기!$B$57)-입력값!$B$96)/입력값!$B$98,ROUNDUP(MAX(0,($A72*손익분기계산기!$B$56+$A72*F$65*손익분기계산기!$B$57)-입력값!$B$96)/입력값!$B$98,0))*입력값!$B$100)*12),입력값!$A$56)-입력값!$A$55)*입력값!$B$56+MAX(0,MIN(MAX(0,($A72*F$65*손익분기계산기!$B$54-손익분기계산기!$B$58-IF(입력값!$B$99="비례",MAX(0,($A72*손익분기계산기!$B$56+$A72*F$65*손익분기계산기!$B$57)-입력값!$B$96)/입력값!$B$98,ROUNDUP(MAX(0,($A72*손익분기계산기!$B$56+$A72*F$65*손익분기계산기!$B$57)-입력값!$B$96)/입력값!$B$98,0))*입력값!$B$100)*12),입력값!$A$57)-입력값!$A$56)*입력값!$B$57+MAX(0,MAX(0,($A72*F$65*손익분기계산기!$B$54-손익분기계산기!$B$58-IF(입력값!$B$99="비례",MAX(0,($A72*손익분기계산기!$B$56+$A72*F$65*손익분기계산기!$B$57)-입력값!$B$96)/입력값!$B$98,ROUNDUP(MAX(0,($A72*손익분기계산기!$B$56+$A72*F$65*손익분기계산기!$B$57)-입력값!$B$96)/입력값!$B$98,0))*입력값!$B$100)*12)-입력값!$A$57)*입력값!$B$58)*(1+입력값!$B$59)*(1-입력값!$B$60)/12))*입력값!$B$64</f>
        <v/>
      </c>
      <c r="G72" s="20">
        <f>(($A72*G$65*손익분기계산기!$B$54-손익분기계산기!$B$58-IF(입력값!$B$99="비례",MAX(0,($A72*손익분기계산기!$B$56+$A72*G$65*손익분기계산기!$B$57)-입력값!$B$96)/입력값!$B$98,ROUNDUP(MAX(0,($A72*손익분기계산기!$B$56+$A72*G$65*손익분기계산기!$B$57)-입력값!$B$96)/입력값!$B$98,0))*입력값!$B$100)-(MIN(MAX(0,($A72*G$65*손익분기계산기!$B$54-손익분기계산기!$B$58-IF(입력값!$B$99="비례",MAX(0,($A72*손익분기계산기!$B$56+$A72*G$65*손익분기계산기!$B$57)-입력값!$B$96)/입력값!$B$98,ROUNDUP(MAX(0,($A72*손익분기계산기!$B$56+$A72*G$65*손익분기계산기!$B$57)-입력값!$B$96)/입력값!$B$98,0))*입력값!$B$100)*12),입력값!$A$55)*입력값!$B$55+MAX(0,MIN(MAX(0,($A72*G$65*손익분기계산기!$B$54-손익분기계산기!$B$58-IF(입력값!$B$99="비례",MAX(0,($A72*손익분기계산기!$B$56+$A72*G$65*손익분기계산기!$B$57)-입력값!$B$96)/입력값!$B$98,ROUNDUP(MAX(0,($A72*손익분기계산기!$B$56+$A72*G$65*손익분기계산기!$B$57)-입력값!$B$96)/입력값!$B$98,0))*입력값!$B$100)*12),입력값!$A$56)-입력값!$A$55)*입력값!$B$56+MAX(0,MIN(MAX(0,($A72*G$65*손익분기계산기!$B$54-손익분기계산기!$B$58-IF(입력값!$B$99="비례",MAX(0,($A72*손익분기계산기!$B$56+$A72*G$65*손익분기계산기!$B$57)-입력값!$B$96)/입력값!$B$98,ROUNDUP(MAX(0,($A72*손익분기계산기!$B$56+$A72*G$65*손익분기계산기!$B$57)-입력값!$B$96)/입력값!$B$98,0))*입력값!$B$100)*12),입력값!$A$57)-입력값!$A$56)*입력값!$B$57+MAX(0,MAX(0,($A72*G$65*손익분기계산기!$B$54-손익분기계산기!$B$58-IF(입력값!$B$99="비례",MAX(0,($A72*손익분기계산기!$B$56+$A72*G$65*손익분기계산기!$B$57)-입력값!$B$96)/입력값!$B$98,ROUNDUP(MAX(0,($A72*손익분기계산기!$B$56+$A72*G$65*손익분기계산기!$B$57)-입력값!$B$96)/입력값!$B$98,0))*입력값!$B$100)*12)-입력값!$A$57)*입력값!$B$58)*(1+입력값!$B$59)*(1-입력값!$B$60)/12)-MAX(0,(($A72*G$65*손익분기계산기!$B$54-손익분기계산기!$B$58-IF(입력값!$B$99="비례",MAX(0,($A72*손익분기계산기!$B$56+$A72*G$65*손익분기계산기!$B$57)-입력값!$B$96)/입력값!$B$98,ROUNDUP(MAX(0,($A72*손익분기계산기!$B$56+$A72*G$65*손익분기계산기!$B$57)-입력값!$B$96)/입력값!$B$98,0))*입력값!$B$100)-(MIN(MAX(0,($A72*G$65*손익분기계산기!$B$54-손익분기계산기!$B$58-IF(입력값!$B$99="비례",MAX(0,($A72*손익분기계산기!$B$56+$A72*G$65*손익분기계산기!$B$57)-입력값!$B$96)/입력값!$B$98,ROUNDUP(MAX(0,($A72*손익분기계산기!$B$56+$A72*G$65*손익분기계산기!$B$57)-입력값!$B$96)/입력값!$B$98,0))*입력값!$B$100)*12),입력값!$A$55)*입력값!$B$55+MAX(0,MIN(MAX(0,($A72*G$65*손익분기계산기!$B$54-손익분기계산기!$B$58-IF(입력값!$B$99="비례",MAX(0,($A72*손익분기계산기!$B$56+$A72*G$65*손익분기계산기!$B$57)-입력값!$B$96)/입력값!$B$98,ROUNDUP(MAX(0,($A72*손익분기계산기!$B$56+$A72*G$65*손익분기계산기!$B$57)-입력값!$B$96)/입력값!$B$98,0))*입력값!$B$100)*12),입력값!$A$56)-입력값!$A$55)*입력값!$B$56+MAX(0,MIN(MAX(0,($A72*G$65*손익분기계산기!$B$54-손익분기계산기!$B$58-IF(입력값!$B$99="비례",MAX(0,($A72*손익분기계산기!$B$56+$A72*G$65*손익분기계산기!$B$57)-입력값!$B$96)/입력값!$B$98,ROUNDUP(MAX(0,($A72*손익분기계산기!$B$56+$A72*G$65*손익분기계산기!$B$57)-입력값!$B$96)/입력값!$B$98,0))*입력값!$B$100)*12),입력값!$A$57)-입력값!$A$56)*입력값!$B$57+MAX(0,MAX(0,($A72*G$65*손익분기계산기!$B$54-손익분기계산기!$B$58-IF(입력값!$B$99="비례",MAX(0,($A72*손익분기계산기!$B$56+$A72*G$65*손익분기계산기!$B$57)-입력값!$B$96)/입력값!$B$98,ROUNDUP(MAX(0,($A72*손익분기계산기!$B$56+$A72*G$65*손익분기계산기!$B$57)-입력값!$B$96)/입력값!$B$98,0))*입력값!$B$100)*12)-입력값!$A$57)*입력값!$B$58)*(1+입력값!$B$59)*(1-입력값!$B$60)/12))*입력값!$B$64</f>
        <v/>
      </c>
      <c r="H72" s="20">
        <f>(($A72*H$65*손익분기계산기!$B$54-손익분기계산기!$B$58-IF(입력값!$B$99="비례",MAX(0,($A72*손익분기계산기!$B$56+$A72*H$65*손익분기계산기!$B$57)-입력값!$B$96)/입력값!$B$98,ROUNDUP(MAX(0,($A72*손익분기계산기!$B$56+$A72*H$65*손익분기계산기!$B$57)-입력값!$B$96)/입력값!$B$98,0))*입력값!$B$100)-(MIN(MAX(0,($A72*H$65*손익분기계산기!$B$54-손익분기계산기!$B$58-IF(입력값!$B$99="비례",MAX(0,($A72*손익분기계산기!$B$56+$A72*H$65*손익분기계산기!$B$57)-입력값!$B$96)/입력값!$B$98,ROUNDUP(MAX(0,($A72*손익분기계산기!$B$56+$A72*H$65*손익분기계산기!$B$57)-입력값!$B$96)/입력값!$B$98,0))*입력값!$B$100)*12),입력값!$A$55)*입력값!$B$55+MAX(0,MIN(MAX(0,($A72*H$65*손익분기계산기!$B$54-손익분기계산기!$B$58-IF(입력값!$B$99="비례",MAX(0,($A72*손익분기계산기!$B$56+$A72*H$65*손익분기계산기!$B$57)-입력값!$B$96)/입력값!$B$98,ROUNDUP(MAX(0,($A72*손익분기계산기!$B$56+$A72*H$65*손익분기계산기!$B$57)-입력값!$B$96)/입력값!$B$98,0))*입력값!$B$100)*12),입력값!$A$56)-입력값!$A$55)*입력값!$B$56+MAX(0,MIN(MAX(0,($A72*H$65*손익분기계산기!$B$54-손익분기계산기!$B$58-IF(입력값!$B$99="비례",MAX(0,($A72*손익분기계산기!$B$56+$A72*H$65*손익분기계산기!$B$57)-입력값!$B$96)/입력값!$B$98,ROUNDUP(MAX(0,($A72*손익분기계산기!$B$56+$A72*H$65*손익분기계산기!$B$57)-입력값!$B$96)/입력값!$B$98,0))*입력값!$B$100)*12),입력값!$A$57)-입력값!$A$56)*입력값!$B$57+MAX(0,MAX(0,($A72*H$65*손익분기계산기!$B$54-손익분기계산기!$B$58-IF(입력값!$B$99="비례",MAX(0,($A72*손익분기계산기!$B$56+$A72*H$65*손익분기계산기!$B$57)-입력값!$B$96)/입력값!$B$98,ROUNDUP(MAX(0,($A72*손익분기계산기!$B$56+$A72*H$65*손익분기계산기!$B$57)-입력값!$B$96)/입력값!$B$98,0))*입력값!$B$100)*12)-입력값!$A$57)*입력값!$B$58)*(1+입력값!$B$59)*(1-입력값!$B$60)/12)-MAX(0,(($A72*H$65*손익분기계산기!$B$54-손익분기계산기!$B$58-IF(입력값!$B$99="비례",MAX(0,($A72*손익분기계산기!$B$56+$A72*H$65*손익분기계산기!$B$57)-입력값!$B$96)/입력값!$B$98,ROUNDUP(MAX(0,($A72*손익분기계산기!$B$56+$A72*H$65*손익분기계산기!$B$57)-입력값!$B$96)/입력값!$B$98,0))*입력값!$B$100)-(MIN(MAX(0,($A72*H$65*손익분기계산기!$B$54-손익분기계산기!$B$58-IF(입력값!$B$99="비례",MAX(0,($A72*손익분기계산기!$B$56+$A72*H$65*손익분기계산기!$B$57)-입력값!$B$96)/입력값!$B$98,ROUNDUP(MAX(0,($A72*손익분기계산기!$B$56+$A72*H$65*손익분기계산기!$B$57)-입력값!$B$96)/입력값!$B$98,0))*입력값!$B$100)*12),입력값!$A$55)*입력값!$B$55+MAX(0,MIN(MAX(0,($A72*H$65*손익분기계산기!$B$54-손익분기계산기!$B$58-IF(입력값!$B$99="비례",MAX(0,($A72*손익분기계산기!$B$56+$A72*H$65*손익분기계산기!$B$57)-입력값!$B$96)/입력값!$B$98,ROUNDUP(MAX(0,($A72*손익분기계산기!$B$56+$A72*H$65*손익분기계산기!$B$57)-입력값!$B$96)/입력값!$B$98,0))*입력값!$B$100)*12),입력값!$A$56)-입력값!$A$55)*입력값!$B$56+MAX(0,MIN(MAX(0,($A72*H$65*손익분기계산기!$B$54-손익분기계산기!$B$58-IF(입력값!$B$99="비례",MAX(0,($A72*손익분기계산기!$B$56+$A72*H$65*손익분기계산기!$B$57)-입력값!$B$96)/입력값!$B$98,ROUNDUP(MAX(0,($A72*손익분기계산기!$B$56+$A72*H$65*손익분기계산기!$B$57)-입력값!$B$96)/입력값!$B$98,0))*입력값!$B$100)*12),입력값!$A$57)-입력값!$A$56)*입력값!$B$57+MAX(0,MAX(0,($A72*H$65*손익분기계산기!$B$54-손익분기계산기!$B$58-IF(입력값!$B$99="비례",MAX(0,($A72*손익분기계산기!$B$56+$A72*H$65*손익분기계산기!$B$57)-입력값!$B$96)/입력값!$B$98,ROUNDUP(MAX(0,($A72*손익분기계산기!$B$56+$A72*H$65*손익분기계산기!$B$57)-입력값!$B$96)/입력값!$B$98,0))*입력값!$B$100)*12)-입력값!$A$57)*입력값!$B$58)*(1+입력값!$B$59)*(1-입력값!$B$60)/12))*입력값!$B$64</f>
        <v/>
      </c>
      <c r="I72" s="20">
        <f>(($A72*I$65*손익분기계산기!$B$54-손익분기계산기!$B$58-IF(입력값!$B$99="비례",MAX(0,($A72*손익분기계산기!$B$56+$A72*I$65*손익분기계산기!$B$57)-입력값!$B$96)/입력값!$B$98,ROUNDUP(MAX(0,($A72*손익분기계산기!$B$56+$A72*I$65*손익분기계산기!$B$57)-입력값!$B$96)/입력값!$B$98,0))*입력값!$B$100)-(MIN(MAX(0,($A72*I$65*손익분기계산기!$B$54-손익분기계산기!$B$58-IF(입력값!$B$99="비례",MAX(0,($A72*손익분기계산기!$B$56+$A72*I$65*손익분기계산기!$B$57)-입력값!$B$96)/입력값!$B$98,ROUNDUP(MAX(0,($A72*손익분기계산기!$B$56+$A72*I$65*손익분기계산기!$B$57)-입력값!$B$96)/입력값!$B$98,0))*입력값!$B$100)*12),입력값!$A$55)*입력값!$B$55+MAX(0,MIN(MAX(0,($A72*I$65*손익분기계산기!$B$54-손익분기계산기!$B$58-IF(입력값!$B$99="비례",MAX(0,($A72*손익분기계산기!$B$56+$A72*I$65*손익분기계산기!$B$57)-입력값!$B$96)/입력값!$B$98,ROUNDUP(MAX(0,($A72*손익분기계산기!$B$56+$A72*I$65*손익분기계산기!$B$57)-입력값!$B$96)/입력값!$B$98,0))*입력값!$B$100)*12),입력값!$A$56)-입력값!$A$55)*입력값!$B$56+MAX(0,MIN(MAX(0,($A72*I$65*손익분기계산기!$B$54-손익분기계산기!$B$58-IF(입력값!$B$99="비례",MAX(0,($A72*손익분기계산기!$B$56+$A72*I$65*손익분기계산기!$B$57)-입력값!$B$96)/입력값!$B$98,ROUNDUP(MAX(0,($A72*손익분기계산기!$B$56+$A72*I$65*손익분기계산기!$B$57)-입력값!$B$96)/입력값!$B$98,0))*입력값!$B$100)*12),입력값!$A$57)-입력값!$A$56)*입력값!$B$57+MAX(0,MAX(0,($A72*I$65*손익분기계산기!$B$54-손익분기계산기!$B$58-IF(입력값!$B$99="비례",MAX(0,($A72*손익분기계산기!$B$56+$A72*I$65*손익분기계산기!$B$57)-입력값!$B$96)/입력값!$B$98,ROUNDUP(MAX(0,($A72*손익분기계산기!$B$56+$A72*I$65*손익분기계산기!$B$57)-입력값!$B$96)/입력값!$B$98,0))*입력값!$B$100)*12)-입력값!$A$57)*입력값!$B$58)*(1+입력값!$B$59)*(1-입력값!$B$60)/12)-MAX(0,(($A72*I$65*손익분기계산기!$B$54-손익분기계산기!$B$58-IF(입력값!$B$99="비례",MAX(0,($A72*손익분기계산기!$B$56+$A72*I$65*손익분기계산기!$B$57)-입력값!$B$96)/입력값!$B$98,ROUNDUP(MAX(0,($A72*손익분기계산기!$B$56+$A72*I$65*손익분기계산기!$B$57)-입력값!$B$96)/입력값!$B$98,0))*입력값!$B$100)-(MIN(MAX(0,($A72*I$65*손익분기계산기!$B$54-손익분기계산기!$B$58-IF(입력값!$B$99="비례",MAX(0,($A72*손익분기계산기!$B$56+$A72*I$65*손익분기계산기!$B$57)-입력값!$B$96)/입력값!$B$98,ROUNDUP(MAX(0,($A72*손익분기계산기!$B$56+$A72*I$65*손익분기계산기!$B$57)-입력값!$B$96)/입력값!$B$98,0))*입력값!$B$100)*12),입력값!$A$55)*입력값!$B$55+MAX(0,MIN(MAX(0,($A72*I$65*손익분기계산기!$B$54-손익분기계산기!$B$58-IF(입력값!$B$99="비례",MAX(0,($A72*손익분기계산기!$B$56+$A72*I$65*손익분기계산기!$B$57)-입력값!$B$96)/입력값!$B$98,ROUNDUP(MAX(0,($A72*손익분기계산기!$B$56+$A72*I$65*손익분기계산기!$B$57)-입력값!$B$96)/입력값!$B$98,0))*입력값!$B$100)*12),입력값!$A$56)-입력값!$A$55)*입력값!$B$56+MAX(0,MIN(MAX(0,($A72*I$65*손익분기계산기!$B$54-손익분기계산기!$B$58-IF(입력값!$B$99="비례",MAX(0,($A72*손익분기계산기!$B$56+$A72*I$65*손익분기계산기!$B$57)-입력값!$B$96)/입력값!$B$98,ROUNDUP(MAX(0,($A72*손익분기계산기!$B$56+$A72*I$65*손익분기계산기!$B$57)-입력값!$B$96)/입력값!$B$98,0))*입력값!$B$100)*12),입력값!$A$57)-입력값!$A$56)*입력값!$B$57+MAX(0,MAX(0,($A72*I$65*손익분기계산기!$B$54-손익분기계산기!$B$58-IF(입력값!$B$99="비례",MAX(0,($A72*손익분기계산기!$B$56+$A72*I$65*손익분기계산기!$B$57)-입력값!$B$96)/입력값!$B$98,ROUNDUP(MAX(0,($A72*손익분기계산기!$B$56+$A72*I$65*손익분기계산기!$B$57)-입력값!$B$96)/입력값!$B$98,0))*입력값!$B$100)*12)-입력값!$A$57)*입력값!$B$58)*(1+입력값!$B$59)*(1-입력값!$B$60)/12))*입력값!$B$64</f>
        <v/>
      </c>
    </row>
    <row r="73">
      <c r="A73" s="24" t="n">
        <v>50</v>
      </c>
      <c r="B73" s="20">
        <f>(($A73*B$65*손익분기계산기!$B$54-손익분기계산기!$B$58-IF(입력값!$B$99="비례",MAX(0,($A73*손익분기계산기!$B$56+$A73*B$65*손익분기계산기!$B$57)-입력값!$B$96)/입력값!$B$98,ROUNDUP(MAX(0,($A73*손익분기계산기!$B$56+$A73*B$65*손익분기계산기!$B$57)-입력값!$B$96)/입력값!$B$98,0))*입력값!$B$100)-(MIN(MAX(0,($A73*B$65*손익분기계산기!$B$54-손익분기계산기!$B$58-IF(입력값!$B$99="비례",MAX(0,($A73*손익분기계산기!$B$56+$A73*B$65*손익분기계산기!$B$57)-입력값!$B$96)/입력값!$B$98,ROUNDUP(MAX(0,($A73*손익분기계산기!$B$56+$A73*B$65*손익분기계산기!$B$57)-입력값!$B$96)/입력값!$B$98,0))*입력값!$B$100)*12),입력값!$A$55)*입력값!$B$55+MAX(0,MIN(MAX(0,($A73*B$65*손익분기계산기!$B$54-손익분기계산기!$B$58-IF(입력값!$B$99="비례",MAX(0,($A73*손익분기계산기!$B$56+$A73*B$65*손익분기계산기!$B$57)-입력값!$B$96)/입력값!$B$98,ROUNDUP(MAX(0,($A73*손익분기계산기!$B$56+$A73*B$65*손익분기계산기!$B$57)-입력값!$B$96)/입력값!$B$98,0))*입력값!$B$100)*12),입력값!$A$56)-입력값!$A$55)*입력값!$B$56+MAX(0,MIN(MAX(0,($A73*B$65*손익분기계산기!$B$54-손익분기계산기!$B$58-IF(입력값!$B$99="비례",MAX(0,($A73*손익분기계산기!$B$56+$A73*B$65*손익분기계산기!$B$57)-입력값!$B$96)/입력값!$B$98,ROUNDUP(MAX(0,($A73*손익분기계산기!$B$56+$A73*B$65*손익분기계산기!$B$57)-입력값!$B$96)/입력값!$B$98,0))*입력값!$B$100)*12),입력값!$A$57)-입력값!$A$56)*입력값!$B$57+MAX(0,MAX(0,($A73*B$65*손익분기계산기!$B$54-손익분기계산기!$B$58-IF(입력값!$B$99="비례",MAX(0,($A73*손익분기계산기!$B$56+$A73*B$65*손익분기계산기!$B$57)-입력값!$B$96)/입력값!$B$98,ROUNDUP(MAX(0,($A73*손익분기계산기!$B$56+$A73*B$65*손익분기계산기!$B$57)-입력값!$B$96)/입력값!$B$98,0))*입력값!$B$100)*12)-입력값!$A$57)*입력값!$B$58)*(1+입력값!$B$59)*(1-입력값!$B$60)/12)-MAX(0,(($A73*B$65*손익분기계산기!$B$54-손익분기계산기!$B$58-IF(입력값!$B$99="비례",MAX(0,($A73*손익분기계산기!$B$56+$A73*B$65*손익분기계산기!$B$57)-입력값!$B$96)/입력값!$B$98,ROUNDUP(MAX(0,($A73*손익분기계산기!$B$56+$A73*B$65*손익분기계산기!$B$57)-입력값!$B$96)/입력값!$B$98,0))*입력값!$B$100)-(MIN(MAX(0,($A73*B$65*손익분기계산기!$B$54-손익분기계산기!$B$58-IF(입력값!$B$99="비례",MAX(0,($A73*손익분기계산기!$B$56+$A73*B$65*손익분기계산기!$B$57)-입력값!$B$96)/입력값!$B$98,ROUNDUP(MAX(0,($A73*손익분기계산기!$B$56+$A73*B$65*손익분기계산기!$B$57)-입력값!$B$96)/입력값!$B$98,0))*입력값!$B$100)*12),입력값!$A$55)*입력값!$B$55+MAX(0,MIN(MAX(0,($A73*B$65*손익분기계산기!$B$54-손익분기계산기!$B$58-IF(입력값!$B$99="비례",MAX(0,($A73*손익분기계산기!$B$56+$A73*B$65*손익분기계산기!$B$57)-입력값!$B$96)/입력값!$B$98,ROUNDUP(MAX(0,($A73*손익분기계산기!$B$56+$A73*B$65*손익분기계산기!$B$57)-입력값!$B$96)/입력값!$B$98,0))*입력값!$B$100)*12),입력값!$A$56)-입력값!$A$55)*입력값!$B$56+MAX(0,MIN(MAX(0,($A73*B$65*손익분기계산기!$B$54-손익분기계산기!$B$58-IF(입력값!$B$99="비례",MAX(0,($A73*손익분기계산기!$B$56+$A73*B$65*손익분기계산기!$B$57)-입력값!$B$96)/입력값!$B$98,ROUNDUP(MAX(0,($A73*손익분기계산기!$B$56+$A73*B$65*손익분기계산기!$B$57)-입력값!$B$96)/입력값!$B$98,0))*입력값!$B$100)*12),입력값!$A$57)-입력값!$A$56)*입력값!$B$57+MAX(0,MAX(0,($A73*B$65*손익분기계산기!$B$54-손익분기계산기!$B$58-IF(입력값!$B$99="비례",MAX(0,($A73*손익분기계산기!$B$56+$A73*B$65*손익분기계산기!$B$57)-입력값!$B$96)/입력값!$B$98,ROUNDUP(MAX(0,($A73*손익분기계산기!$B$56+$A73*B$65*손익분기계산기!$B$57)-입력값!$B$96)/입력값!$B$98,0))*입력값!$B$100)*12)-입력값!$A$57)*입력값!$B$58)*(1+입력값!$B$59)*(1-입력값!$B$60)/12))*입력값!$B$64</f>
        <v/>
      </c>
      <c r="C73" s="20">
        <f>(($A73*C$65*손익분기계산기!$B$54-손익분기계산기!$B$58-IF(입력값!$B$99="비례",MAX(0,($A73*손익분기계산기!$B$56+$A73*C$65*손익분기계산기!$B$57)-입력값!$B$96)/입력값!$B$98,ROUNDUP(MAX(0,($A73*손익분기계산기!$B$56+$A73*C$65*손익분기계산기!$B$57)-입력값!$B$96)/입력값!$B$98,0))*입력값!$B$100)-(MIN(MAX(0,($A73*C$65*손익분기계산기!$B$54-손익분기계산기!$B$58-IF(입력값!$B$99="비례",MAX(0,($A73*손익분기계산기!$B$56+$A73*C$65*손익분기계산기!$B$57)-입력값!$B$96)/입력값!$B$98,ROUNDUP(MAX(0,($A73*손익분기계산기!$B$56+$A73*C$65*손익분기계산기!$B$57)-입력값!$B$96)/입력값!$B$98,0))*입력값!$B$100)*12),입력값!$A$55)*입력값!$B$55+MAX(0,MIN(MAX(0,($A73*C$65*손익분기계산기!$B$54-손익분기계산기!$B$58-IF(입력값!$B$99="비례",MAX(0,($A73*손익분기계산기!$B$56+$A73*C$65*손익분기계산기!$B$57)-입력값!$B$96)/입력값!$B$98,ROUNDUP(MAX(0,($A73*손익분기계산기!$B$56+$A73*C$65*손익분기계산기!$B$57)-입력값!$B$96)/입력값!$B$98,0))*입력값!$B$100)*12),입력값!$A$56)-입력값!$A$55)*입력값!$B$56+MAX(0,MIN(MAX(0,($A73*C$65*손익분기계산기!$B$54-손익분기계산기!$B$58-IF(입력값!$B$99="비례",MAX(0,($A73*손익분기계산기!$B$56+$A73*C$65*손익분기계산기!$B$57)-입력값!$B$96)/입력값!$B$98,ROUNDUP(MAX(0,($A73*손익분기계산기!$B$56+$A73*C$65*손익분기계산기!$B$57)-입력값!$B$96)/입력값!$B$98,0))*입력값!$B$100)*12),입력값!$A$57)-입력값!$A$56)*입력값!$B$57+MAX(0,MAX(0,($A73*C$65*손익분기계산기!$B$54-손익분기계산기!$B$58-IF(입력값!$B$99="비례",MAX(0,($A73*손익분기계산기!$B$56+$A73*C$65*손익분기계산기!$B$57)-입력값!$B$96)/입력값!$B$98,ROUNDUP(MAX(0,($A73*손익분기계산기!$B$56+$A73*C$65*손익분기계산기!$B$57)-입력값!$B$96)/입력값!$B$98,0))*입력값!$B$100)*12)-입력값!$A$57)*입력값!$B$58)*(1+입력값!$B$59)*(1-입력값!$B$60)/12)-MAX(0,(($A73*C$65*손익분기계산기!$B$54-손익분기계산기!$B$58-IF(입력값!$B$99="비례",MAX(0,($A73*손익분기계산기!$B$56+$A73*C$65*손익분기계산기!$B$57)-입력값!$B$96)/입력값!$B$98,ROUNDUP(MAX(0,($A73*손익분기계산기!$B$56+$A73*C$65*손익분기계산기!$B$57)-입력값!$B$96)/입력값!$B$98,0))*입력값!$B$100)-(MIN(MAX(0,($A73*C$65*손익분기계산기!$B$54-손익분기계산기!$B$58-IF(입력값!$B$99="비례",MAX(0,($A73*손익분기계산기!$B$56+$A73*C$65*손익분기계산기!$B$57)-입력값!$B$96)/입력값!$B$98,ROUNDUP(MAX(0,($A73*손익분기계산기!$B$56+$A73*C$65*손익분기계산기!$B$57)-입력값!$B$96)/입력값!$B$98,0))*입력값!$B$100)*12),입력값!$A$55)*입력값!$B$55+MAX(0,MIN(MAX(0,($A73*C$65*손익분기계산기!$B$54-손익분기계산기!$B$58-IF(입력값!$B$99="비례",MAX(0,($A73*손익분기계산기!$B$56+$A73*C$65*손익분기계산기!$B$57)-입력값!$B$96)/입력값!$B$98,ROUNDUP(MAX(0,($A73*손익분기계산기!$B$56+$A73*C$65*손익분기계산기!$B$57)-입력값!$B$96)/입력값!$B$98,0))*입력값!$B$100)*12),입력값!$A$56)-입력값!$A$55)*입력값!$B$56+MAX(0,MIN(MAX(0,($A73*C$65*손익분기계산기!$B$54-손익분기계산기!$B$58-IF(입력값!$B$99="비례",MAX(0,($A73*손익분기계산기!$B$56+$A73*C$65*손익분기계산기!$B$57)-입력값!$B$96)/입력값!$B$98,ROUNDUP(MAX(0,($A73*손익분기계산기!$B$56+$A73*C$65*손익분기계산기!$B$57)-입력값!$B$96)/입력값!$B$98,0))*입력값!$B$100)*12),입력값!$A$57)-입력값!$A$56)*입력값!$B$57+MAX(0,MAX(0,($A73*C$65*손익분기계산기!$B$54-손익분기계산기!$B$58-IF(입력값!$B$99="비례",MAX(0,($A73*손익분기계산기!$B$56+$A73*C$65*손익분기계산기!$B$57)-입력값!$B$96)/입력값!$B$98,ROUNDUP(MAX(0,($A73*손익분기계산기!$B$56+$A73*C$65*손익분기계산기!$B$57)-입력값!$B$96)/입력값!$B$98,0))*입력값!$B$100)*12)-입력값!$A$57)*입력값!$B$58)*(1+입력값!$B$59)*(1-입력값!$B$60)/12))*입력값!$B$64</f>
        <v/>
      </c>
      <c r="D73" s="20">
        <f>(($A73*D$65*손익분기계산기!$B$54-손익분기계산기!$B$58-IF(입력값!$B$99="비례",MAX(0,($A73*손익분기계산기!$B$56+$A73*D$65*손익분기계산기!$B$57)-입력값!$B$96)/입력값!$B$98,ROUNDUP(MAX(0,($A73*손익분기계산기!$B$56+$A73*D$65*손익분기계산기!$B$57)-입력값!$B$96)/입력값!$B$98,0))*입력값!$B$100)-(MIN(MAX(0,($A73*D$65*손익분기계산기!$B$54-손익분기계산기!$B$58-IF(입력값!$B$99="비례",MAX(0,($A73*손익분기계산기!$B$56+$A73*D$65*손익분기계산기!$B$57)-입력값!$B$96)/입력값!$B$98,ROUNDUP(MAX(0,($A73*손익분기계산기!$B$56+$A73*D$65*손익분기계산기!$B$57)-입력값!$B$96)/입력값!$B$98,0))*입력값!$B$100)*12),입력값!$A$55)*입력값!$B$55+MAX(0,MIN(MAX(0,($A73*D$65*손익분기계산기!$B$54-손익분기계산기!$B$58-IF(입력값!$B$99="비례",MAX(0,($A73*손익분기계산기!$B$56+$A73*D$65*손익분기계산기!$B$57)-입력값!$B$96)/입력값!$B$98,ROUNDUP(MAX(0,($A73*손익분기계산기!$B$56+$A73*D$65*손익분기계산기!$B$57)-입력값!$B$96)/입력값!$B$98,0))*입력값!$B$100)*12),입력값!$A$56)-입력값!$A$55)*입력값!$B$56+MAX(0,MIN(MAX(0,($A73*D$65*손익분기계산기!$B$54-손익분기계산기!$B$58-IF(입력값!$B$99="비례",MAX(0,($A73*손익분기계산기!$B$56+$A73*D$65*손익분기계산기!$B$57)-입력값!$B$96)/입력값!$B$98,ROUNDUP(MAX(0,($A73*손익분기계산기!$B$56+$A73*D$65*손익분기계산기!$B$57)-입력값!$B$96)/입력값!$B$98,0))*입력값!$B$100)*12),입력값!$A$57)-입력값!$A$56)*입력값!$B$57+MAX(0,MAX(0,($A73*D$65*손익분기계산기!$B$54-손익분기계산기!$B$58-IF(입력값!$B$99="비례",MAX(0,($A73*손익분기계산기!$B$56+$A73*D$65*손익분기계산기!$B$57)-입력값!$B$96)/입력값!$B$98,ROUNDUP(MAX(0,($A73*손익분기계산기!$B$56+$A73*D$65*손익분기계산기!$B$57)-입력값!$B$96)/입력값!$B$98,0))*입력값!$B$100)*12)-입력값!$A$57)*입력값!$B$58)*(1+입력값!$B$59)*(1-입력값!$B$60)/12)-MAX(0,(($A73*D$65*손익분기계산기!$B$54-손익분기계산기!$B$58-IF(입력값!$B$99="비례",MAX(0,($A73*손익분기계산기!$B$56+$A73*D$65*손익분기계산기!$B$57)-입력값!$B$96)/입력값!$B$98,ROUNDUP(MAX(0,($A73*손익분기계산기!$B$56+$A73*D$65*손익분기계산기!$B$57)-입력값!$B$96)/입력값!$B$98,0))*입력값!$B$100)-(MIN(MAX(0,($A73*D$65*손익분기계산기!$B$54-손익분기계산기!$B$58-IF(입력값!$B$99="비례",MAX(0,($A73*손익분기계산기!$B$56+$A73*D$65*손익분기계산기!$B$57)-입력값!$B$96)/입력값!$B$98,ROUNDUP(MAX(0,($A73*손익분기계산기!$B$56+$A73*D$65*손익분기계산기!$B$57)-입력값!$B$96)/입력값!$B$98,0))*입력값!$B$100)*12),입력값!$A$55)*입력값!$B$55+MAX(0,MIN(MAX(0,($A73*D$65*손익분기계산기!$B$54-손익분기계산기!$B$58-IF(입력값!$B$99="비례",MAX(0,($A73*손익분기계산기!$B$56+$A73*D$65*손익분기계산기!$B$57)-입력값!$B$96)/입력값!$B$98,ROUNDUP(MAX(0,($A73*손익분기계산기!$B$56+$A73*D$65*손익분기계산기!$B$57)-입력값!$B$96)/입력값!$B$98,0))*입력값!$B$100)*12),입력값!$A$56)-입력값!$A$55)*입력값!$B$56+MAX(0,MIN(MAX(0,($A73*D$65*손익분기계산기!$B$54-손익분기계산기!$B$58-IF(입력값!$B$99="비례",MAX(0,($A73*손익분기계산기!$B$56+$A73*D$65*손익분기계산기!$B$57)-입력값!$B$96)/입력값!$B$98,ROUNDUP(MAX(0,($A73*손익분기계산기!$B$56+$A73*D$65*손익분기계산기!$B$57)-입력값!$B$96)/입력값!$B$98,0))*입력값!$B$100)*12),입력값!$A$57)-입력값!$A$56)*입력값!$B$57+MAX(0,MAX(0,($A73*D$65*손익분기계산기!$B$54-손익분기계산기!$B$58-IF(입력값!$B$99="비례",MAX(0,($A73*손익분기계산기!$B$56+$A73*D$65*손익분기계산기!$B$57)-입력값!$B$96)/입력값!$B$98,ROUNDUP(MAX(0,($A73*손익분기계산기!$B$56+$A73*D$65*손익분기계산기!$B$57)-입력값!$B$96)/입력값!$B$98,0))*입력값!$B$100)*12)-입력값!$A$57)*입력값!$B$58)*(1+입력값!$B$59)*(1-입력값!$B$60)/12))*입력값!$B$64</f>
        <v/>
      </c>
      <c r="E73" s="20">
        <f>(($A73*E$65*손익분기계산기!$B$54-손익분기계산기!$B$58-IF(입력값!$B$99="비례",MAX(0,($A73*손익분기계산기!$B$56+$A73*E$65*손익분기계산기!$B$57)-입력값!$B$96)/입력값!$B$98,ROUNDUP(MAX(0,($A73*손익분기계산기!$B$56+$A73*E$65*손익분기계산기!$B$57)-입력값!$B$96)/입력값!$B$98,0))*입력값!$B$100)-(MIN(MAX(0,($A73*E$65*손익분기계산기!$B$54-손익분기계산기!$B$58-IF(입력값!$B$99="비례",MAX(0,($A73*손익분기계산기!$B$56+$A73*E$65*손익분기계산기!$B$57)-입력값!$B$96)/입력값!$B$98,ROUNDUP(MAX(0,($A73*손익분기계산기!$B$56+$A73*E$65*손익분기계산기!$B$57)-입력값!$B$96)/입력값!$B$98,0))*입력값!$B$100)*12),입력값!$A$55)*입력값!$B$55+MAX(0,MIN(MAX(0,($A73*E$65*손익분기계산기!$B$54-손익분기계산기!$B$58-IF(입력값!$B$99="비례",MAX(0,($A73*손익분기계산기!$B$56+$A73*E$65*손익분기계산기!$B$57)-입력값!$B$96)/입력값!$B$98,ROUNDUP(MAX(0,($A73*손익분기계산기!$B$56+$A73*E$65*손익분기계산기!$B$57)-입력값!$B$96)/입력값!$B$98,0))*입력값!$B$100)*12),입력값!$A$56)-입력값!$A$55)*입력값!$B$56+MAX(0,MIN(MAX(0,($A73*E$65*손익분기계산기!$B$54-손익분기계산기!$B$58-IF(입력값!$B$99="비례",MAX(0,($A73*손익분기계산기!$B$56+$A73*E$65*손익분기계산기!$B$57)-입력값!$B$96)/입력값!$B$98,ROUNDUP(MAX(0,($A73*손익분기계산기!$B$56+$A73*E$65*손익분기계산기!$B$57)-입력값!$B$96)/입력값!$B$98,0))*입력값!$B$100)*12),입력값!$A$57)-입력값!$A$56)*입력값!$B$57+MAX(0,MAX(0,($A73*E$65*손익분기계산기!$B$54-손익분기계산기!$B$58-IF(입력값!$B$99="비례",MAX(0,($A73*손익분기계산기!$B$56+$A73*E$65*손익분기계산기!$B$57)-입력값!$B$96)/입력값!$B$98,ROUNDUP(MAX(0,($A73*손익분기계산기!$B$56+$A73*E$65*손익분기계산기!$B$57)-입력값!$B$96)/입력값!$B$98,0))*입력값!$B$100)*12)-입력값!$A$57)*입력값!$B$58)*(1+입력값!$B$59)*(1-입력값!$B$60)/12)-MAX(0,(($A73*E$65*손익분기계산기!$B$54-손익분기계산기!$B$58-IF(입력값!$B$99="비례",MAX(0,($A73*손익분기계산기!$B$56+$A73*E$65*손익분기계산기!$B$57)-입력값!$B$96)/입력값!$B$98,ROUNDUP(MAX(0,($A73*손익분기계산기!$B$56+$A73*E$65*손익분기계산기!$B$57)-입력값!$B$96)/입력값!$B$98,0))*입력값!$B$100)-(MIN(MAX(0,($A73*E$65*손익분기계산기!$B$54-손익분기계산기!$B$58-IF(입력값!$B$99="비례",MAX(0,($A73*손익분기계산기!$B$56+$A73*E$65*손익분기계산기!$B$57)-입력값!$B$96)/입력값!$B$98,ROUNDUP(MAX(0,($A73*손익분기계산기!$B$56+$A73*E$65*손익분기계산기!$B$57)-입력값!$B$96)/입력값!$B$98,0))*입력값!$B$100)*12),입력값!$A$55)*입력값!$B$55+MAX(0,MIN(MAX(0,($A73*E$65*손익분기계산기!$B$54-손익분기계산기!$B$58-IF(입력값!$B$99="비례",MAX(0,($A73*손익분기계산기!$B$56+$A73*E$65*손익분기계산기!$B$57)-입력값!$B$96)/입력값!$B$98,ROUNDUP(MAX(0,($A73*손익분기계산기!$B$56+$A73*E$65*손익분기계산기!$B$57)-입력값!$B$96)/입력값!$B$98,0))*입력값!$B$100)*12),입력값!$A$56)-입력값!$A$55)*입력값!$B$56+MAX(0,MIN(MAX(0,($A73*E$65*손익분기계산기!$B$54-손익분기계산기!$B$58-IF(입력값!$B$99="비례",MAX(0,($A73*손익분기계산기!$B$56+$A73*E$65*손익분기계산기!$B$57)-입력값!$B$96)/입력값!$B$98,ROUNDUP(MAX(0,($A73*손익분기계산기!$B$56+$A73*E$65*손익분기계산기!$B$57)-입력값!$B$96)/입력값!$B$98,0))*입력값!$B$100)*12),입력값!$A$57)-입력값!$A$56)*입력값!$B$57+MAX(0,MAX(0,($A73*E$65*손익분기계산기!$B$54-손익분기계산기!$B$58-IF(입력값!$B$99="비례",MAX(0,($A73*손익분기계산기!$B$56+$A73*E$65*손익분기계산기!$B$57)-입력값!$B$96)/입력값!$B$98,ROUNDUP(MAX(0,($A73*손익분기계산기!$B$56+$A73*E$65*손익분기계산기!$B$57)-입력값!$B$96)/입력값!$B$98,0))*입력값!$B$100)*12)-입력값!$A$57)*입력값!$B$58)*(1+입력값!$B$59)*(1-입력값!$B$60)/12))*입력값!$B$64</f>
        <v/>
      </c>
      <c r="F73" s="20">
        <f>(($A73*F$65*손익분기계산기!$B$54-손익분기계산기!$B$58-IF(입력값!$B$99="비례",MAX(0,($A73*손익분기계산기!$B$56+$A73*F$65*손익분기계산기!$B$57)-입력값!$B$96)/입력값!$B$98,ROUNDUP(MAX(0,($A73*손익분기계산기!$B$56+$A73*F$65*손익분기계산기!$B$57)-입력값!$B$96)/입력값!$B$98,0))*입력값!$B$100)-(MIN(MAX(0,($A73*F$65*손익분기계산기!$B$54-손익분기계산기!$B$58-IF(입력값!$B$99="비례",MAX(0,($A73*손익분기계산기!$B$56+$A73*F$65*손익분기계산기!$B$57)-입력값!$B$96)/입력값!$B$98,ROUNDUP(MAX(0,($A73*손익분기계산기!$B$56+$A73*F$65*손익분기계산기!$B$57)-입력값!$B$96)/입력값!$B$98,0))*입력값!$B$100)*12),입력값!$A$55)*입력값!$B$55+MAX(0,MIN(MAX(0,($A73*F$65*손익분기계산기!$B$54-손익분기계산기!$B$58-IF(입력값!$B$99="비례",MAX(0,($A73*손익분기계산기!$B$56+$A73*F$65*손익분기계산기!$B$57)-입력값!$B$96)/입력값!$B$98,ROUNDUP(MAX(0,($A73*손익분기계산기!$B$56+$A73*F$65*손익분기계산기!$B$57)-입력값!$B$96)/입력값!$B$98,0))*입력값!$B$100)*12),입력값!$A$56)-입력값!$A$55)*입력값!$B$56+MAX(0,MIN(MAX(0,($A73*F$65*손익분기계산기!$B$54-손익분기계산기!$B$58-IF(입력값!$B$99="비례",MAX(0,($A73*손익분기계산기!$B$56+$A73*F$65*손익분기계산기!$B$57)-입력값!$B$96)/입력값!$B$98,ROUNDUP(MAX(0,($A73*손익분기계산기!$B$56+$A73*F$65*손익분기계산기!$B$57)-입력값!$B$96)/입력값!$B$98,0))*입력값!$B$100)*12),입력값!$A$57)-입력값!$A$56)*입력값!$B$57+MAX(0,MAX(0,($A73*F$65*손익분기계산기!$B$54-손익분기계산기!$B$58-IF(입력값!$B$99="비례",MAX(0,($A73*손익분기계산기!$B$56+$A73*F$65*손익분기계산기!$B$57)-입력값!$B$96)/입력값!$B$98,ROUNDUP(MAX(0,($A73*손익분기계산기!$B$56+$A73*F$65*손익분기계산기!$B$57)-입력값!$B$96)/입력값!$B$98,0))*입력값!$B$100)*12)-입력값!$A$57)*입력값!$B$58)*(1+입력값!$B$59)*(1-입력값!$B$60)/12)-MAX(0,(($A73*F$65*손익분기계산기!$B$54-손익분기계산기!$B$58-IF(입력값!$B$99="비례",MAX(0,($A73*손익분기계산기!$B$56+$A73*F$65*손익분기계산기!$B$57)-입력값!$B$96)/입력값!$B$98,ROUNDUP(MAX(0,($A73*손익분기계산기!$B$56+$A73*F$65*손익분기계산기!$B$57)-입력값!$B$96)/입력값!$B$98,0))*입력값!$B$100)-(MIN(MAX(0,($A73*F$65*손익분기계산기!$B$54-손익분기계산기!$B$58-IF(입력값!$B$99="비례",MAX(0,($A73*손익분기계산기!$B$56+$A73*F$65*손익분기계산기!$B$57)-입력값!$B$96)/입력값!$B$98,ROUNDUP(MAX(0,($A73*손익분기계산기!$B$56+$A73*F$65*손익분기계산기!$B$57)-입력값!$B$96)/입력값!$B$98,0))*입력값!$B$100)*12),입력값!$A$55)*입력값!$B$55+MAX(0,MIN(MAX(0,($A73*F$65*손익분기계산기!$B$54-손익분기계산기!$B$58-IF(입력값!$B$99="비례",MAX(0,($A73*손익분기계산기!$B$56+$A73*F$65*손익분기계산기!$B$57)-입력값!$B$96)/입력값!$B$98,ROUNDUP(MAX(0,($A73*손익분기계산기!$B$56+$A73*F$65*손익분기계산기!$B$57)-입력값!$B$96)/입력값!$B$98,0))*입력값!$B$100)*12),입력값!$A$56)-입력값!$A$55)*입력값!$B$56+MAX(0,MIN(MAX(0,($A73*F$65*손익분기계산기!$B$54-손익분기계산기!$B$58-IF(입력값!$B$99="비례",MAX(0,($A73*손익분기계산기!$B$56+$A73*F$65*손익분기계산기!$B$57)-입력값!$B$96)/입력값!$B$98,ROUNDUP(MAX(0,($A73*손익분기계산기!$B$56+$A73*F$65*손익분기계산기!$B$57)-입력값!$B$96)/입력값!$B$98,0))*입력값!$B$100)*12),입력값!$A$57)-입력값!$A$56)*입력값!$B$57+MAX(0,MAX(0,($A73*F$65*손익분기계산기!$B$54-손익분기계산기!$B$58-IF(입력값!$B$99="비례",MAX(0,($A73*손익분기계산기!$B$56+$A73*F$65*손익분기계산기!$B$57)-입력값!$B$96)/입력값!$B$98,ROUNDUP(MAX(0,($A73*손익분기계산기!$B$56+$A73*F$65*손익분기계산기!$B$57)-입력값!$B$96)/입력값!$B$98,0))*입력값!$B$100)*12)-입력값!$A$57)*입력값!$B$58)*(1+입력값!$B$59)*(1-입력값!$B$60)/12))*입력값!$B$64</f>
        <v/>
      </c>
      <c r="G73" s="20">
        <f>(($A73*G$65*손익분기계산기!$B$54-손익분기계산기!$B$58-IF(입력값!$B$99="비례",MAX(0,($A73*손익분기계산기!$B$56+$A73*G$65*손익분기계산기!$B$57)-입력값!$B$96)/입력값!$B$98,ROUNDUP(MAX(0,($A73*손익분기계산기!$B$56+$A73*G$65*손익분기계산기!$B$57)-입력값!$B$96)/입력값!$B$98,0))*입력값!$B$100)-(MIN(MAX(0,($A73*G$65*손익분기계산기!$B$54-손익분기계산기!$B$58-IF(입력값!$B$99="비례",MAX(0,($A73*손익분기계산기!$B$56+$A73*G$65*손익분기계산기!$B$57)-입력값!$B$96)/입력값!$B$98,ROUNDUP(MAX(0,($A73*손익분기계산기!$B$56+$A73*G$65*손익분기계산기!$B$57)-입력값!$B$96)/입력값!$B$98,0))*입력값!$B$100)*12),입력값!$A$55)*입력값!$B$55+MAX(0,MIN(MAX(0,($A73*G$65*손익분기계산기!$B$54-손익분기계산기!$B$58-IF(입력값!$B$99="비례",MAX(0,($A73*손익분기계산기!$B$56+$A73*G$65*손익분기계산기!$B$57)-입력값!$B$96)/입력값!$B$98,ROUNDUP(MAX(0,($A73*손익분기계산기!$B$56+$A73*G$65*손익분기계산기!$B$57)-입력값!$B$96)/입력값!$B$98,0))*입력값!$B$100)*12),입력값!$A$56)-입력값!$A$55)*입력값!$B$56+MAX(0,MIN(MAX(0,($A73*G$65*손익분기계산기!$B$54-손익분기계산기!$B$58-IF(입력값!$B$99="비례",MAX(0,($A73*손익분기계산기!$B$56+$A73*G$65*손익분기계산기!$B$57)-입력값!$B$96)/입력값!$B$98,ROUNDUP(MAX(0,($A73*손익분기계산기!$B$56+$A73*G$65*손익분기계산기!$B$57)-입력값!$B$96)/입력값!$B$98,0))*입력값!$B$100)*12),입력값!$A$57)-입력값!$A$56)*입력값!$B$57+MAX(0,MAX(0,($A73*G$65*손익분기계산기!$B$54-손익분기계산기!$B$58-IF(입력값!$B$99="비례",MAX(0,($A73*손익분기계산기!$B$56+$A73*G$65*손익분기계산기!$B$57)-입력값!$B$96)/입력값!$B$98,ROUNDUP(MAX(0,($A73*손익분기계산기!$B$56+$A73*G$65*손익분기계산기!$B$57)-입력값!$B$96)/입력값!$B$98,0))*입력값!$B$100)*12)-입력값!$A$57)*입력값!$B$58)*(1+입력값!$B$59)*(1-입력값!$B$60)/12)-MAX(0,(($A73*G$65*손익분기계산기!$B$54-손익분기계산기!$B$58-IF(입력값!$B$99="비례",MAX(0,($A73*손익분기계산기!$B$56+$A73*G$65*손익분기계산기!$B$57)-입력값!$B$96)/입력값!$B$98,ROUNDUP(MAX(0,($A73*손익분기계산기!$B$56+$A73*G$65*손익분기계산기!$B$57)-입력값!$B$96)/입력값!$B$98,0))*입력값!$B$100)-(MIN(MAX(0,($A73*G$65*손익분기계산기!$B$54-손익분기계산기!$B$58-IF(입력값!$B$99="비례",MAX(0,($A73*손익분기계산기!$B$56+$A73*G$65*손익분기계산기!$B$57)-입력값!$B$96)/입력값!$B$98,ROUNDUP(MAX(0,($A73*손익분기계산기!$B$56+$A73*G$65*손익분기계산기!$B$57)-입력값!$B$96)/입력값!$B$98,0))*입력값!$B$100)*12),입력값!$A$55)*입력값!$B$55+MAX(0,MIN(MAX(0,($A73*G$65*손익분기계산기!$B$54-손익분기계산기!$B$58-IF(입력값!$B$99="비례",MAX(0,($A73*손익분기계산기!$B$56+$A73*G$65*손익분기계산기!$B$57)-입력값!$B$96)/입력값!$B$98,ROUNDUP(MAX(0,($A73*손익분기계산기!$B$56+$A73*G$65*손익분기계산기!$B$57)-입력값!$B$96)/입력값!$B$98,0))*입력값!$B$100)*12),입력값!$A$56)-입력값!$A$55)*입력값!$B$56+MAX(0,MIN(MAX(0,($A73*G$65*손익분기계산기!$B$54-손익분기계산기!$B$58-IF(입력값!$B$99="비례",MAX(0,($A73*손익분기계산기!$B$56+$A73*G$65*손익분기계산기!$B$57)-입력값!$B$96)/입력값!$B$98,ROUNDUP(MAX(0,($A73*손익분기계산기!$B$56+$A73*G$65*손익분기계산기!$B$57)-입력값!$B$96)/입력값!$B$98,0))*입력값!$B$100)*12),입력값!$A$57)-입력값!$A$56)*입력값!$B$57+MAX(0,MAX(0,($A73*G$65*손익분기계산기!$B$54-손익분기계산기!$B$58-IF(입력값!$B$99="비례",MAX(0,($A73*손익분기계산기!$B$56+$A73*G$65*손익분기계산기!$B$57)-입력값!$B$96)/입력값!$B$98,ROUNDUP(MAX(0,($A73*손익분기계산기!$B$56+$A73*G$65*손익분기계산기!$B$57)-입력값!$B$96)/입력값!$B$98,0))*입력값!$B$100)*12)-입력값!$A$57)*입력값!$B$58)*(1+입력값!$B$59)*(1-입력값!$B$60)/12))*입력값!$B$64</f>
        <v/>
      </c>
      <c r="H73" s="20">
        <f>(($A73*H$65*손익분기계산기!$B$54-손익분기계산기!$B$58-IF(입력값!$B$99="비례",MAX(0,($A73*손익분기계산기!$B$56+$A73*H$65*손익분기계산기!$B$57)-입력값!$B$96)/입력값!$B$98,ROUNDUP(MAX(0,($A73*손익분기계산기!$B$56+$A73*H$65*손익분기계산기!$B$57)-입력값!$B$96)/입력값!$B$98,0))*입력값!$B$100)-(MIN(MAX(0,($A73*H$65*손익분기계산기!$B$54-손익분기계산기!$B$58-IF(입력값!$B$99="비례",MAX(0,($A73*손익분기계산기!$B$56+$A73*H$65*손익분기계산기!$B$57)-입력값!$B$96)/입력값!$B$98,ROUNDUP(MAX(0,($A73*손익분기계산기!$B$56+$A73*H$65*손익분기계산기!$B$57)-입력값!$B$96)/입력값!$B$98,0))*입력값!$B$100)*12),입력값!$A$55)*입력값!$B$55+MAX(0,MIN(MAX(0,($A73*H$65*손익분기계산기!$B$54-손익분기계산기!$B$58-IF(입력값!$B$99="비례",MAX(0,($A73*손익분기계산기!$B$56+$A73*H$65*손익분기계산기!$B$57)-입력값!$B$96)/입력값!$B$98,ROUNDUP(MAX(0,($A73*손익분기계산기!$B$56+$A73*H$65*손익분기계산기!$B$57)-입력값!$B$96)/입력값!$B$98,0))*입력값!$B$100)*12),입력값!$A$56)-입력값!$A$55)*입력값!$B$56+MAX(0,MIN(MAX(0,($A73*H$65*손익분기계산기!$B$54-손익분기계산기!$B$58-IF(입력값!$B$99="비례",MAX(0,($A73*손익분기계산기!$B$56+$A73*H$65*손익분기계산기!$B$57)-입력값!$B$96)/입력값!$B$98,ROUNDUP(MAX(0,($A73*손익분기계산기!$B$56+$A73*H$65*손익분기계산기!$B$57)-입력값!$B$96)/입력값!$B$98,0))*입력값!$B$100)*12),입력값!$A$57)-입력값!$A$56)*입력값!$B$57+MAX(0,MAX(0,($A73*H$65*손익분기계산기!$B$54-손익분기계산기!$B$58-IF(입력값!$B$99="비례",MAX(0,($A73*손익분기계산기!$B$56+$A73*H$65*손익분기계산기!$B$57)-입력값!$B$96)/입력값!$B$98,ROUNDUP(MAX(0,($A73*손익분기계산기!$B$56+$A73*H$65*손익분기계산기!$B$57)-입력값!$B$96)/입력값!$B$98,0))*입력값!$B$100)*12)-입력값!$A$57)*입력값!$B$58)*(1+입력값!$B$59)*(1-입력값!$B$60)/12)-MAX(0,(($A73*H$65*손익분기계산기!$B$54-손익분기계산기!$B$58-IF(입력값!$B$99="비례",MAX(0,($A73*손익분기계산기!$B$56+$A73*H$65*손익분기계산기!$B$57)-입력값!$B$96)/입력값!$B$98,ROUNDUP(MAX(0,($A73*손익분기계산기!$B$56+$A73*H$65*손익분기계산기!$B$57)-입력값!$B$96)/입력값!$B$98,0))*입력값!$B$100)-(MIN(MAX(0,($A73*H$65*손익분기계산기!$B$54-손익분기계산기!$B$58-IF(입력값!$B$99="비례",MAX(0,($A73*손익분기계산기!$B$56+$A73*H$65*손익분기계산기!$B$57)-입력값!$B$96)/입력값!$B$98,ROUNDUP(MAX(0,($A73*손익분기계산기!$B$56+$A73*H$65*손익분기계산기!$B$57)-입력값!$B$96)/입력값!$B$98,0))*입력값!$B$100)*12),입력값!$A$55)*입력값!$B$55+MAX(0,MIN(MAX(0,($A73*H$65*손익분기계산기!$B$54-손익분기계산기!$B$58-IF(입력값!$B$99="비례",MAX(0,($A73*손익분기계산기!$B$56+$A73*H$65*손익분기계산기!$B$57)-입력값!$B$96)/입력값!$B$98,ROUNDUP(MAX(0,($A73*손익분기계산기!$B$56+$A73*H$65*손익분기계산기!$B$57)-입력값!$B$96)/입력값!$B$98,0))*입력값!$B$100)*12),입력값!$A$56)-입력값!$A$55)*입력값!$B$56+MAX(0,MIN(MAX(0,($A73*H$65*손익분기계산기!$B$54-손익분기계산기!$B$58-IF(입력값!$B$99="비례",MAX(0,($A73*손익분기계산기!$B$56+$A73*H$65*손익분기계산기!$B$57)-입력값!$B$96)/입력값!$B$98,ROUNDUP(MAX(0,($A73*손익분기계산기!$B$56+$A73*H$65*손익분기계산기!$B$57)-입력값!$B$96)/입력값!$B$98,0))*입력값!$B$100)*12),입력값!$A$57)-입력값!$A$56)*입력값!$B$57+MAX(0,MAX(0,($A73*H$65*손익분기계산기!$B$54-손익분기계산기!$B$58-IF(입력값!$B$99="비례",MAX(0,($A73*손익분기계산기!$B$56+$A73*H$65*손익분기계산기!$B$57)-입력값!$B$96)/입력값!$B$98,ROUNDUP(MAX(0,($A73*손익분기계산기!$B$56+$A73*H$65*손익분기계산기!$B$57)-입력값!$B$96)/입력값!$B$98,0))*입력값!$B$100)*12)-입력값!$A$57)*입력값!$B$58)*(1+입력값!$B$59)*(1-입력값!$B$60)/12))*입력값!$B$64</f>
        <v/>
      </c>
      <c r="I73" s="20">
        <f>(($A73*I$65*손익분기계산기!$B$54-손익분기계산기!$B$58-IF(입력값!$B$99="비례",MAX(0,($A73*손익분기계산기!$B$56+$A73*I$65*손익분기계산기!$B$57)-입력값!$B$96)/입력값!$B$98,ROUNDUP(MAX(0,($A73*손익분기계산기!$B$56+$A73*I$65*손익분기계산기!$B$57)-입력값!$B$96)/입력값!$B$98,0))*입력값!$B$100)-(MIN(MAX(0,($A73*I$65*손익분기계산기!$B$54-손익분기계산기!$B$58-IF(입력값!$B$99="비례",MAX(0,($A73*손익분기계산기!$B$56+$A73*I$65*손익분기계산기!$B$57)-입력값!$B$96)/입력값!$B$98,ROUNDUP(MAX(0,($A73*손익분기계산기!$B$56+$A73*I$65*손익분기계산기!$B$57)-입력값!$B$96)/입력값!$B$98,0))*입력값!$B$100)*12),입력값!$A$55)*입력값!$B$55+MAX(0,MIN(MAX(0,($A73*I$65*손익분기계산기!$B$54-손익분기계산기!$B$58-IF(입력값!$B$99="비례",MAX(0,($A73*손익분기계산기!$B$56+$A73*I$65*손익분기계산기!$B$57)-입력값!$B$96)/입력값!$B$98,ROUNDUP(MAX(0,($A73*손익분기계산기!$B$56+$A73*I$65*손익분기계산기!$B$57)-입력값!$B$96)/입력값!$B$98,0))*입력값!$B$100)*12),입력값!$A$56)-입력값!$A$55)*입력값!$B$56+MAX(0,MIN(MAX(0,($A73*I$65*손익분기계산기!$B$54-손익분기계산기!$B$58-IF(입력값!$B$99="비례",MAX(0,($A73*손익분기계산기!$B$56+$A73*I$65*손익분기계산기!$B$57)-입력값!$B$96)/입력값!$B$98,ROUNDUP(MAX(0,($A73*손익분기계산기!$B$56+$A73*I$65*손익분기계산기!$B$57)-입력값!$B$96)/입력값!$B$98,0))*입력값!$B$100)*12),입력값!$A$57)-입력값!$A$56)*입력값!$B$57+MAX(0,MAX(0,($A73*I$65*손익분기계산기!$B$54-손익분기계산기!$B$58-IF(입력값!$B$99="비례",MAX(0,($A73*손익분기계산기!$B$56+$A73*I$65*손익분기계산기!$B$57)-입력값!$B$96)/입력값!$B$98,ROUNDUP(MAX(0,($A73*손익분기계산기!$B$56+$A73*I$65*손익분기계산기!$B$57)-입력값!$B$96)/입력값!$B$98,0))*입력값!$B$100)*12)-입력값!$A$57)*입력값!$B$58)*(1+입력값!$B$59)*(1-입력값!$B$60)/12)-MAX(0,(($A73*I$65*손익분기계산기!$B$54-손익분기계산기!$B$58-IF(입력값!$B$99="비례",MAX(0,($A73*손익분기계산기!$B$56+$A73*I$65*손익분기계산기!$B$57)-입력값!$B$96)/입력값!$B$98,ROUNDUP(MAX(0,($A73*손익분기계산기!$B$56+$A73*I$65*손익분기계산기!$B$57)-입력값!$B$96)/입력값!$B$98,0))*입력값!$B$100)-(MIN(MAX(0,($A73*I$65*손익분기계산기!$B$54-손익분기계산기!$B$58-IF(입력값!$B$99="비례",MAX(0,($A73*손익분기계산기!$B$56+$A73*I$65*손익분기계산기!$B$57)-입력값!$B$96)/입력값!$B$98,ROUNDUP(MAX(0,($A73*손익분기계산기!$B$56+$A73*I$65*손익분기계산기!$B$57)-입력값!$B$96)/입력값!$B$98,0))*입력값!$B$100)*12),입력값!$A$55)*입력값!$B$55+MAX(0,MIN(MAX(0,($A73*I$65*손익분기계산기!$B$54-손익분기계산기!$B$58-IF(입력값!$B$99="비례",MAX(0,($A73*손익분기계산기!$B$56+$A73*I$65*손익분기계산기!$B$57)-입력값!$B$96)/입력값!$B$98,ROUNDUP(MAX(0,($A73*손익분기계산기!$B$56+$A73*I$65*손익분기계산기!$B$57)-입력값!$B$96)/입력값!$B$98,0))*입력값!$B$100)*12),입력값!$A$56)-입력값!$A$55)*입력값!$B$56+MAX(0,MIN(MAX(0,($A73*I$65*손익분기계산기!$B$54-손익분기계산기!$B$58-IF(입력값!$B$99="비례",MAX(0,($A73*손익분기계산기!$B$56+$A73*I$65*손익분기계산기!$B$57)-입력값!$B$96)/입력값!$B$98,ROUNDUP(MAX(0,($A73*손익분기계산기!$B$56+$A73*I$65*손익분기계산기!$B$57)-입력값!$B$96)/입력값!$B$98,0))*입력값!$B$100)*12),입력값!$A$57)-입력값!$A$56)*입력값!$B$57+MAX(0,MAX(0,($A73*I$65*손익분기계산기!$B$54-손익분기계산기!$B$58-IF(입력값!$B$99="비례",MAX(0,($A73*손익분기계산기!$B$56+$A73*I$65*손익분기계산기!$B$57)-입력값!$B$96)/입력값!$B$98,ROUNDUP(MAX(0,($A73*손익분기계산기!$B$56+$A73*I$65*손익분기계산기!$B$57)-입력값!$B$96)/입력값!$B$98,0))*입력값!$B$100)*12)-입력값!$A$57)*입력값!$B$58)*(1+입력값!$B$59)*(1-입력값!$B$60)/12))*입력값!$B$64</f>
        <v/>
      </c>
    </row>
    <row r="74">
      <c r="A74" s="24" t="n">
        <v>75</v>
      </c>
      <c r="B74" s="20">
        <f>(($A74*B$65*손익분기계산기!$B$54-손익분기계산기!$B$58-IF(입력값!$B$99="비례",MAX(0,($A74*손익분기계산기!$B$56+$A74*B$65*손익분기계산기!$B$57)-입력값!$B$96)/입력값!$B$98,ROUNDUP(MAX(0,($A74*손익분기계산기!$B$56+$A74*B$65*손익분기계산기!$B$57)-입력값!$B$96)/입력값!$B$98,0))*입력값!$B$100)-(MIN(MAX(0,($A74*B$65*손익분기계산기!$B$54-손익분기계산기!$B$58-IF(입력값!$B$99="비례",MAX(0,($A74*손익분기계산기!$B$56+$A74*B$65*손익분기계산기!$B$57)-입력값!$B$96)/입력값!$B$98,ROUNDUP(MAX(0,($A74*손익분기계산기!$B$56+$A74*B$65*손익분기계산기!$B$57)-입력값!$B$96)/입력값!$B$98,0))*입력값!$B$100)*12),입력값!$A$55)*입력값!$B$55+MAX(0,MIN(MAX(0,($A74*B$65*손익분기계산기!$B$54-손익분기계산기!$B$58-IF(입력값!$B$99="비례",MAX(0,($A74*손익분기계산기!$B$56+$A74*B$65*손익분기계산기!$B$57)-입력값!$B$96)/입력값!$B$98,ROUNDUP(MAX(0,($A74*손익분기계산기!$B$56+$A74*B$65*손익분기계산기!$B$57)-입력값!$B$96)/입력값!$B$98,0))*입력값!$B$100)*12),입력값!$A$56)-입력값!$A$55)*입력값!$B$56+MAX(0,MIN(MAX(0,($A74*B$65*손익분기계산기!$B$54-손익분기계산기!$B$58-IF(입력값!$B$99="비례",MAX(0,($A74*손익분기계산기!$B$56+$A74*B$65*손익분기계산기!$B$57)-입력값!$B$96)/입력값!$B$98,ROUNDUP(MAX(0,($A74*손익분기계산기!$B$56+$A74*B$65*손익분기계산기!$B$57)-입력값!$B$96)/입력값!$B$98,0))*입력값!$B$100)*12),입력값!$A$57)-입력값!$A$56)*입력값!$B$57+MAX(0,MAX(0,($A74*B$65*손익분기계산기!$B$54-손익분기계산기!$B$58-IF(입력값!$B$99="비례",MAX(0,($A74*손익분기계산기!$B$56+$A74*B$65*손익분기계산기!$B$57)-입력값!$B$96)/입력값!$B$98,ROUNDUP(MAX(0,($A74*손익분기계산기!$B$56+$A74*B$65*손익분기계산기!$B$57)-입력값!$B$96)/입력값!$B$98,0))*입력값!$B$100)*12)-입력값!$A$57)*입력값!$B$58)*(1+입력값!$B$59)*(1-입력값!$B$60)/12)-MAX(0,(($A74*B$65*손익분기계산기!$B$54-손익분기계산기!$B$58-IF(입력값!$B$99="비례",MAX(0,($A74*손익분기계산기!$B$56+$A74*B$65*손익분기계산기!$B$57)-입력값!$B$96)/입력값!$B$98,ROUNDUP(MAX(0,($A74*손익분기계산기!$B$56+$A74*B$65*손익분기계산기!$B$57)-입력값!$B$96)/입력값!$B$98,0))*입력값!$B$100)-(MIN(MAX(0,($A74*B$65*손익분기계산기!$B$54-손익분기계산기!$B$58-IF(입력값!$B$99="비례",MAX(0,($A74*손익분기계산기!$B$56+$A74*B$65*손익분기계산기!$B$57)-입력값!$B$96)/입력값!$B$98,ROUNDUP(MAX(0,($A74*손익분기계산기!$B$56+$A74*B$65*손익분기계산기!$B$57)-입력값!$B$96)/입력값!$B$98,0))*입력값!$B$100)*12),입력값!$A$55)*입력값!$B$55+MAX(0,MIN(MAX(0,($A74*B$65*손익분기계산기!$B$54-손익분기계산기!$B$58-IF(입력값!$B$99="비례",MAX(0,($A74*손익분기계산기!$B$56+$A74*B$65*손익분기계산기!$B$57)-입력값!$B$96)/입력값!$B$98,ROUNDUP(MAX(0,($A74*손익분기계산기!$B$56+$A74*B$65*손익분기계산기!$B$57)-입력값!$B$96)/입력값!$B$98,0))*입력값!$B$100)*12),입력값!$A$56)-입력값!$A$55)*입력값!$B$56+MAX(0,MIN(MAX(0,($A74*B$65*손익분기계산기!$B$54-손익분기계산기!$B$58-IF(입력값!$B$99="비례",MAX(0,($A74*손익분기계산기!$B$56+$A74*B$65*손익분기계산기!$B$57)-입력값!$B$96)/입력값!$B$98,ROUNDUP(MAX(0,($A74*손익분기계산기!$B$56+$A74*B$65*손익분기계산기!$B$57)-입력값!$B$96)/입력값!$B$98,0))*입력값!$B$100)*12),입력값!$A$57)-입력값!$A$56)*입력값!$B$57+MAX(0,MAX(0,($A74*B$65*손익분기계산기!$B$54-손익분기계산기!$B$58-IF(입력값!$B$99="비례",MAX(0,($A74*손익분기계산기!$B$56+$A74*B$65*손익분기계산기!$B$57)-입력값!$B$96)/입력값!$B$98,ROUNDUP(MAX(0,($A74*손익분기계산기!$B$56+$A74*B$65*손익분기계산기!$B$57)-입력값!$B$96)/입력값!$B$98,0))*입력값!$B$100)*12)-입력값!$A$57)*입력값!$B$58)*(1+입력값!$B$59)*(1-입력값!$B$60)/12))*입력값!$B$64</f>
        <v/>
      </c>
      <c r="C74" s="20">
        <f>(($A74*C$65*손익분기계산기!$B$54-손익분기계산기!$B$58-IF(입력값!$B$99="비례",MAX(0,($A74*손익분기계산기!$B$56+$A74*C$65*손익분기계산기!$B$57)-입력값!$B$96)/입력값!$B$98,ROUNDUP(MAX(0,($A74*손익분기계산기!$B$56+$A74*C$65*손익분기계산기!$B$57)-입력값!$B$96)/입력값!$B$98,0))*입력값!$B$100)-(MIN(MAX(0,($A74*C$65*손익분기계산기!$B$54-손익분기계산기!$B$58-IF(입력값!$B$99="비례",MAX(0,($A74*손익분기계산기!$B$56+$A74*C$65*손익분기계산기!$B$57)-입력값!$B$96)/입력값!$B$98,ROUNDUP(MAX(0,($A74*손익분기계산기!$B$56+$A74*C$65*손익분기계산기!$B$57)-입력값!$B$96)/입력값!$B$98,0))*입력값!$B$100)*12),입력값!$A$55)*입력값!$B$55+MAX(0,MIN(MAX(0,($A74*C$65*손익분기계산기!$B$54-손익분기계산기!$B$58-IF(입력값!$B$99="비례",MAX(0,($A74*손익분기계산기!$B$56+$A74*C$65*손익분기계산기!$B$57)-입력값!$B$96)/입력값!$B$98,ROUNDUP(MAX(0,($A74*손익분기계산기!$B$56+$A74*C$65*손익분기계산기!$B$57)-입력값!$B$96)/입력값!$B$98,0))*입력값!$B$100)*12),입력값!$A$56)-입력값!$A$55)*입력값!$B$56+MAX(0,MIN(MAX(0,($A74*C$65*손익분기계산기!$B$54-손익분기계산기!$B$58-IF(입력값!$B$99="비례",MAX(0,($A74*손익분기계산기!$B$56+$A74*C$65*손익분기계산기!$B$57)-입력값!$B$96)/입력값!$B$98,ROUNDUP(MAX(0,($A74*손익분기계산기!$B$56+$A74*C$65*손익분기계산기!$B$57)-입력값!$B$96)/입력값!$B$98,0))*입력값!$B$100)*12),입력값!$A$57)-입력값!$A$56)*입력값!$B$57+MAX(0,MAX(0,($A74*C$65*손익분기계산기!$B$54-손익분기계산기!$B$58-IF(입력값!$B$99="비례",MAX(0,($A74*손익분기계산기!$B$56+$A74*C$65*손익분기계산기!$B$57)-입력값!$B$96)/입력값!$B$98,ROUNDUP(MAX(0,($A74*손익분기계산기!$B$56+$A74*C$65*손익분기계산기!$B$57)-입력값!$B$96)/입력값!$B$98,0))*입력값!$B$100)*12)-입력값!$A$57)*입력값!$B$58)*(1+입력값!$B$59)*(1-입력값!$B$60)/12)-MAX(0,(($A74*C$65*손익분기계산기!$B$54-손익분기계산기!$B$58-IF(입력값!$B$99="비례",MAX(0,($A74*손익분기계산기!$B$56+$A74*C$65*손익분기계산기!$B$57)-입력값!$B$96)/입력값!$B$98,ROUNDUP(MAX(0,($A74*손익분기계산기!$B$56+$A74*C$65*손익분기계산기!$B$57)-입력값!$B$96)/입력값!$B$98,0))*입력값!$B$100)-(MIN(MAX(0,($A74*C$65*손익분기계산기!$B$54-손익분기계산기!$B$58-IF(입력값!$B$99="비례",MAX(0,($A74*손익분기계산기!$B$56+$A74*C$65*손익분기계산기!$B$57)-입력값!$B$96)/입력값!$B$98,ROUNDUP(MAX(0,($A74*손익분기계산기!$B$56+$A74*C$65*손익분기계산기!$B$57)-입력값!$B$96)/입력값!$B$98,0))*입력값!$B$100)*12),입력값!$A$55)*입력값!$B$55+MAX(0,MIN(MAX(0,($A74*C$65*손익분기계산기!$B$54-손익분기계산기!$B$58-IF(입력값!$B$99="비례",MAX(0,($A74*손익분기계산기!$B$56+$A74*C$65*손익분기계산기!$B$57)-입력값!$B$96)/입력값!$B$98,ROUNDUP(MAX(0,($A74*손익분기계산기!$B$56+$A74*C$65*손익분기계산기!$B$57)-입력값!$B$96)/입력값!$B$98,0))*입력값!$B$100)*12),입력값!$A$56)-입력값!$A$55)*입력값!$B$56+MAX(0,MIN(MAX(0,($A74*C$65*손익분기계산기!$B$54-손익분기계산기!$B$58-IF(입력값!$B$99="비례",MAX(0,($A74*손익분기계산기!$B$56+$A74*C$65*손익분기계산기!$B$57)-입력값!$B$96)/입력값!$B$98,ROUNDUP(MAX(0,($A74*손익분기계산기!$B$56+$A74*C$65*손익분기계산기!$B$57)-입력값!$B$96)/입력값!$B$98,0))*입력값!$B$100)*12),입력값!$A$57)-입력값!$A$56)*입력값!$B$57+MAX(0,MAX(0,($A74*C$65*손익분기계산기!$B$54-손익분기계산기!$B$58-IF(입력값!$B$99="비례",MAX(0,($A74*손익분기계산기!$B$56+$A74*C$65*손익분기계산기!$B$57)-입력값!$B$96)/입력값!$B$98,ROUNDUP(MAX(0,($A74*손익분기계산기!$B$56+$A74*C$65*손익분기계산기!$B$57)-입력값!$B$96)/입력값!$B$98,0))*입력값!$B$100)*12)-입력값!$A$57)*입력값!$B$58)*(1+입력값!$B$59)*(1-입력값!$B$60)/12))*입력값!$B$64</f>
        <v/>
      </c>
      <c r="D74" s="20">
        <f>(($A74*D$65*손익분기계산기!$B$54-손익분기계산기!$B$58-IF(입력값!$B$99="비례",MAX(0,($A74*손익분기계산기!$B$56+$A74*D$65*손익분기계산기!$B$57)-입력값!$B$96)/입력값!$B$98,ROUNDUP(MAX(0,($A74*손익분기계산기!$B$56+$A74*D$65*손익분기계산기!$B$57)-입력값!$B$96)/입력값!$B$98,0))*입력값!$B$100)-(MIN(MAX(0,($A74*D$65*손익분기계산기!$B$54-손익분기계산기!$B$58-IF(입력값!$B$99="비례",MAX(0,($A74*손익분기계산기!$B$56+$A74*D$65*손익분기계산기!$B$57)-입력값!$B$96)/입력값!$B$98,ROUNDUP(MAX(0,($A74*손익분기계산기!$B$56+$A74*D$65*손익분기계산기!$B$57)-입력값!$B$96)/입력값!$B$98,0))*입력값!$B$100)*12),입력값!$A$55)*입력값!$B$55+MAX(0,MIN(MAX(0,($A74*D$65*손익분기계산기!$B$54-손익분기계산기!$B$58-IF(입력값!$B$99="비례",MAX(0,($A74*손익분기계산기!$B$56+$A74*D$65*손익분기계산기!$B$57)-입력값!$B$96)/입력값!$B$98,ROUNDUP(MAX(0,($A74*손익분기계산기!$B$56+$A74*D$65*손익분기계산기!$B$57)-입력값!$B$96)/입력값!$B$98,0))*입력값!$B$100)*12),입력값!$A$56)-입력값!$A$55)*입력값!$B$56+MAX(0,MIN(MAX(0,($A74*D$65*손익분기계산기!$B$54-손익분기계산기!$B$58-IF(입력값!$B$99="비례",MAX(0,($A74*손익분기계산기!$B$56+$A74*D$65*손익분기계산기!$B$57)-입력값!$B$96)/입력값!$B$98,ROUNDUP(MAX(0,($A74*손익분기계산기!$B$56+$A74*D$65*손익분기계산기!$B$57)-입력값!$B$96)/입력값!$B$98,0))*입력값!$B$100)*12),입력값!$A$57)-입력값!$A$56)*입력값!$B$57+MAX(0,MAX(0,($A74*D$65*손익분기계산기!$B$54-손익분기계산기!$B$58-IF(입력값!$B$99="비례",MAX(0,($A74*손익분기계산기!$B$56+$A74*D$65*손익분기계산기!$B$57)-입력값!$B$96)/입력값!$B$98,ROUNDUP(MAX(0,($A74*손익분기계산기!$B$56+$A74*D$65*손익분기계산기!$B$57)-입력값!$B$96)/입력값!$B$98,0))*입력값!$B$100)*12)-입력값!$A$57)*입력값!$B$58)*(1+입력값!$B$59)*(1-입력값!$B$60)/12)-MAX(0,(($A74*D$65*손익분기계산기!$B$54-손익분기계산기!$B$58-IF(입력값!$B$99="비례",MAX(0,($A74*손익분기계산기!$B$56+$A74*D$65*손익분기계산기!$B$57)-입력값!$B$96)/입력값!$B$98,ROUNDUP(MAX(0,($A74*손익분기계산기!$B$56+$A74*D$65*손익분기계산기!$B$57)-입력값!$B$96)/입력값!$B$98,0))*입력값!$B$100)-(MIN(MAX(0,($A74*D$65*손익분기계산기!$B$54-손익분기계산기!$B$58-IF(입력값!$B$99="비례",MAX(0,($A74*손익분기계산기!$B$56+$A74*D$65*손익분기계산기!$B$57)-입력값!$B$96)/입력값!$B$98,ROUNDUP(MAX(0,($A74*손익분기계산기!$B$56+$A74*D$65*손익분기계산기!$B$57)-입력값!$B$96)/입력값!$B$98,0))*입력값!$B$100)*12),입력값!$A$55)*입력값!$B$55+MAX(0,MIN(MAX(0,($A74*D$65*손익분기계산기!$B$54-손익분기계산기!$B$58-IF(입력값!$B$99="비례",MAX(0,($A74*손익분기계산기!$B$56+$A74*D$65*손익분기계산기!$B$57)-입력값!$B$96)/입력값!$B$98,ROUNDUP(MAX(0,($A74*손익분기계산기!$B$56+$A74*D$65*손익분기계산기!$B$57)-입력값!$B$96)/입력값!$B$98,0))*입력값!$B$100)*12),입력값!$A$56)-입력값!$A$55)*입력값!$B$56+MAX(0,MIN(MAX(0,($A74*D$65*손익분기계산기!$B$54-손익분기계산기!$B$58-IF(입력값!$B$99="비례",MAX(0,($A74*손익분기계산기!$B$56+$A74*D$65*손익분기계산기!$B$57)-입력값!$B$96)/입력값!$B$98,ROUNDUP(MAX(0,($A74*손익분기계산기!$B$56+$A74*D$65*손익분기계산기!$B$57)-입력값!$B$96)/입력값!$B$98,0))*입력값!$B$100)*12),입력값!$A$57)-입력값!$A$56)*입력값!$B$57+MAX(0,MAX(0,($A74*D$65*손익분기계산기!$B$54-손익분기계산기!$B$58-IF(입력값!$B$99="비례",MAX(0,($A74*손익분기계산기!$B$56+$A74*D$65*손익분기계산기!$B$57)-입력값!$B$96)/입력값!$B$98,ROUNDUP(MAX(0,($A74*손익분기계산기!$B$56+$A74*D$65*손익분기계산기!$B$57)-입력값!$B$96)/입력값!$B$98,0))*입력값!$B$100)*12)-입력값!$A$57)*입력값!$B$58)*(1+입력값!$B$59)*(1-입력값!$B$60)/12))*입력값!$B$64</f>
        <v/>
      </c>
      <c r="E74" s="20">
        <f>(($A74*E$65*손익분기계산기!$B$54-손익분기계산기!$B$58-IF(입력값!$B$99="비례",MAX(0,($A74*손익분기계산기!$B$56+$A74*E$65*손익분기계산기!$B$57)-입력값!$B$96)/입력값!$B$98,ROUNDUP(MAX(0,($A74*손익분기계산기!$B$56+$A74*E$65*손익분기계산기!$B$57)-입력값!$B$96)/입력값!$B$98,0))*입력값!$B$100)-(MIN(MAX(0,($A74*E$65*손익분기계산기!$B$54-손익분기계산기!$B$58-IF(입력값!$B$99="비례",MAX(0,($A74*손익분기계산기!$B$56+$A74*E$65*손익분기계산기!$B$57)-입력값!$B$96)/입력값!$B$98,ROUNDUP(MAX(0,($A74*손익분기계산기!$B$56+$A74*E$65*손익분기계산기!$B$57)-입력값!$B$96)/입력값!$B$98,0))*입력값!$B$100)*12),입력값!$A$55)*입력값!$B$55+MAX(0,MIN(MAX(0,($A74*E$65*손익분기계산기!$B$54-손익분기계산기!$B$58-IF(입력값!$B$99="비례",MAX(0,($A74*손익분기계산기!$B$56+$A74*E$65*손익분기계산기!$B$57)-입력값!$B$96)/입력값!$B$98,ROUNDUP(MAX(0,($A74*손익분기계산기!$B$56+$A74*E$65*손익분기계산기!$B$57)-입력값!$B$96)/입력값!$B$98,0))*입력값!$B$100)*12),입력값!$A$56)-입력값!$A$55)*입력값!$B$56+MAX(0,MIN(MAX(0,($A74*E$65*손익분기계산기!$B$54-손익분기계산기!$B$58-IF(입력값!$B$99="비례",MAX(0,($A74*손익분기계산기!$B$56+$A74*E$65*손익분기계산기!$B$57)-입력값!$B$96)/입력값!$B$98,ROUNDUP(MAX(0,($A74*손익분기계산기!$B$56+$A74*E$65*손익분기계산기!$B$57)-입력값!$B$96)/입력값!$B$98,0))*입력값!$B$100)*12),입력값!$A$57)-입력값!$A$56)*입력값!$B$57+MAX(0,MAX(0,($A74*E$65*손익분기계산기!$B$54-손익분기계산기!$B$58-IF(입력값!$B$99="비례",MAX(0,($A74*손익분기계산기!$B$56+$A74*E$65*손익분기계산기!$B$57)-입력값!$B$96)/입력값!$B$98,ROUNDUP(MAX(0,($A74*손익분기계산기!$B$56+$A74*E$65*손익분기계산기!$B$57)-입력값!$B$96)/입력값!$B$98,0))*입력값!$B$100)*12)-입력값!$A$57)*입력값!$B$58)*(1+입력값!$B$59)*(1-입력값!$B$60)/12)-MAX(0,(($A74*E$65*손익분기계산기!$B$54-손익분기계산기!$B$58-IF(입력값!$B$99="비례",MAX(0,($A74*손익분기계산기!$B$56+$A74*E$65*손익분기계산기!$B$57)-입력값!$B$96)/입력값!$B$98,ROUNDUP(MAX(0,($A74*손익분기계산기!$B$56+$A74*E$65*손익분기계산기!$B$57)-입력값!$B$96)/입력값!$B$98,0))*입력값!$B$100)-(MIN(MAX(0,($A74*E$65*손익분기계산기!$B$54-손익분기계산기!$B$58-IF(입력값!$B$99="비례",MAX(0,($A74*손익분기계산기!$B$56+$A74*E$65*손익분기계산기!$B$57)-입력값!$B$96)/입력값!$B$98,ROUNDUP(MAX(0,($A74*손익분기계산기!$B$56+$A74*E$65*손익분기계산기!$B$57)-입력값!$B$96)/입력값!$B$98,0))*입력값!$B$100)*12),입력값!$A$55)*입력값!$B$55+MAX(0,MIN(MAX(0,($A74*E$65*손익분기계산기!$B$54-손익분기계산기!$B$58-IF(입력값!$B$99="비례",MAX(0,($A74*손익분기계산기!$B$56+$A74*E$65*손익분기계산기!$B$57)-입력값!$B$96)/입력값!$B$98,ROUNDUP(MAX(0,($A74*손익분기계산기!$B$56+$A74*E$65*손익분기계산기!$B$57)-입력값!$B$96)/입력값!$B$98,0))*입력값!$B$100)*12),입력값!$A$56)-입력값!$A$55)*입력값!$B$56+MAX(0,MIN(MAX(0,($A74*E$65*손익분기계산기!$B$54-손익분기계산기!$B$58-IF(입력값!$B$99="비례",MAX(0,($A74*손익분기계산기!$B$56+$A74*E$65*손익분기계산기!$B$57)-입력값!$B$96)/입력값!$B$98,ROUNDUP(MAX(0,($A74*손익분기계산기!$B$56+$A74*E$65*손익분기계산기!$B$57)-입력값!$B$96)/입력값!$B$98,0))*입력값!$B$100)*12),입력값!$A$57)-입력값!$A$56)*입력값!$B$57+MAX(0,MAX(0,($A74*E$65*손익분기계산기!$B$54-손익분기계산기!$B$58-IF(입력값!$B$99="비례",MAX(0,($A74*손익분기계산기!$B$56+$A74*E$65*손익분기계산기!$B$57)-입력값!$B$96)/입력값!$B$98,ROUNDUP(MAX(0,($A74*손익분기계산기!$B$56+$A74*E$65*손익분기계산기!$B$57)-입력값!$B$96)/입력값!$B$98,0))*입력값!$B$100)*12)-입력값!$A$57)*입력값!$B$58)*(1+입력값!$B$59)*(1-입력값!$B$60)/12))*입력값!$B$64</f>
        <v/>
      </c>
      <c r="F74" s="20">
        <f>(($A74*F$65*손익분기계산기!$B$54-손익분기계산기!$B$58-IF(입력값!$B$99="비례",MAX(0,($A74*손익분기계산기!$B$56+$A74*F$65*손익분기계산기!$B$57)-입력값!$B$96)/입력값!$B$98,ROUNDUP(MAX(0,($A74*손익분기계산기!$B$56+$A74*F$65*손익분기계산기!$B$57)-입력값!$B$96)/입력값!$B$98,0))*입력값!$B$100)-(MIN(MAX(0,($A74*F$65*손익분기계산기!$B$54-손익분기계산기!$B$58-IF(입력값!$B$99="비례",MAX(0,($A74*손익분기계산기!$B$56+$A74*F$65*손익분기계산기!$B$57)-입력값!$B$96)/입력값!$B$98,ROUNDUP(MAX(0,($A74*손익분기계산기!$B$56+$A74*F$65*손익분기계산기!$B$57)-입력값!$B$96)/입력값!$B$98,0))*입력값!$B$100)*12),입력값!$A$55)*입력값!$B$55+MAX(0,MIN(MAX(0,($A74*F$65*손익분기계산기!$B$54-손익분기계산기!$B$58-IF(입력값!$B$99="비례",MAX(0,($A74*손익분기계산기!$B$56+$A74*F$65*손익분기계산기!$B$57)-입력값!$B$96)/입력값!$B$98,ROUNDUP(MAX(0,($A74*손익분기계산기!$B$56+$A74*F$65*손익분기계산기!$B$57)-입력값!$B$96)/입력값!$B$98,0))*입력값!$B$100)*12),입력값!$A$56)-입력값!$A$55)*입력값!$B$56+MAX(0,MIN(MAX(0,($A74*F$65*손익분기계산기!$B$54-손익분기계산기!$B$58-IF(입력값!$B$99="비례",MAX(0,($A74*손익분기계산기!$B$56+$A74*F$65*손익분기계산기!$B$57)-입력값!$B$96)/입력값!$B$98,ROUNDUP(MAX(0,($A74*손익분기계산기!$B$56+$A74*F$65*손익분기계산기!$B$57)-입력값!$B$96)/입력값!$B$98,0))*입력값!$B$100)*12),입력값!$A$57)-입력값!$A$56)*입력값!$B$57+MAX(0,MAX(0,($A74*F$65*손익분기계산기!$B$54-손익분기계산기!$B$58-IF(입력값!$B$99="비례",MAX(0,($A74*손익분기계산기!$B$56+$A74*F$65*손익분기계산기!$B$57)-입력값!$B$96)/입력값!$B$98,ROUNDUP(MAX(0,($A74*손익분기계산기!$B$56+$A74*F$65*손익분기계산기!$B$57)-입력값!$B$96)/입력값!$B$98,0))*입력값!$B$100)*12)-입력값!$A$57)*입력값!$B$58)*(1+입력값!$B$59)*(1-입력값!$B$60)/12)-MAX(0,(($A74*F$65*손익분기계산기!$B$54-손익분기계산기!$B$58-IF(입력값!$B$99="비례",MAX(0,($A74*손익분기계산기!$B$56+$A74*F$65*손익분기계산기!$B$57)-입력값!$B$96)/입력값!$B$98,ROUNDUP(MAX(0,($A74*손익분기계산기!$B$56+$A74*F$65*손익분기계산기!$B$57)-입력값!$B$96)/입력값!$B$98,0))*입력값!$B$100)-(MIN(MAX(0,($A74*F$65*손익분기계산기!$B$54-손익분기계산기!$B$58-IF(입력값!$B$99="비례",MAX(0,($A74*손익분기계산기!$B$56+$A74*F$65*손익분기계산기!$B$57)-입력값!$B$96)/입력값!$B$98,ROUNDUP(MAX(0,($A74*손익분기계산기!$B$56+$A74*F$65*손익분기계산기!$B$57)-입력값!$B$96)/입력값!$B$98,0))*입력값!$B$100)*12),입력값!$A$55)*입력값!$B$55+MAX(0,MIN(MAX(0,($A74*F$65*손익분기계산기!$B$54-손익분기계산기!$B$58-IF(입력값!$B$99="비례",MAX(0,($A74*손익분기계산기!$B$56+$A74*F$65*손익분기계산기!$B$57)-입력값!$B$96)/입력값!$B$98,ROUNDUP(MAX(0,($A74*손익분기계산기!$B$56+$A74*F$65*손익분기계산기!$B$57)-입력값!$B$96)/입력값!$B$98,0))*입력값!$B$100)*12),입력값!$A$56)-입력값!$A$55)*입력값!$B$56+MAX(0,MIN(MAX(0,($A74*F$65*손익분기계산기!$B$54-손익분기계산기!$B$58-IF(입력값!$B$99="비례",MAX(0,($A74*손익분기계산기!$B$56+$A74*F$65*손익분기계산기!$B$57)-입력값!$B$96)/입력값!$B$98,ROUNDUP(MAX(0,($A74*손익분기계산기!$B$56+$A74*F$65*손익분기계산기!$B$57)-입력값!$B$96)/입력값!$B$98,0))*입력값!$B$100)*12),입력값!$A$57)-입력값!$A$56)*입력값!$B$57+MAX(0,MAX(0,($A74*F$65*손익분기계산기!$B$54-손익분기계산기!$B$58-IF(입력값!$B$99="비례",MAX(0,($A74*손익분기계산기!$B$56+$A74*F$65*손익분기계산기!$B$57)-입력값!$B$96)/입력값!$B$98,ROUNDUP(MAX(0,($A74*손익분기계산기!$B$56+$A74*F$65*손익분기계산기!$B$57)-입력값!$B$96)/입력값!$B$98,0))*입력값!$B$100)*12)-입력값!$A$57)*입력값!$B$58)*(1+입력값!$B$59)*(1-입력값!$B$60)/12))*입력값!$B$64</f>
        <v/>
      </c>
      <c r="G74" s="20">
        <f>(($A74*G$65*손익분기계산기!$B$54-손익분기계산기!$B$58-IF(입력값!$B$99="비례",MAX(0,($A74*손익분기계산기!$B$56+$A74*G$65*손익분기계산기!$B$57)-입력값!$B$96)/입력값!$B$98,ROUNDUP(MAX(0,($A74*손익분기계산기!$B$56+$A74*G$65*손익분기계산기!$B$57)-입력값!$B$96)/입력값!$B$98,0))*입력값!$B$100)-(MIN(MAX(0,($A74*G$65*손익분기계산기!$B$54-손익분기계산기!$B$58-IF(입력값!$B$99="비례",MAX(0,($A74*손익분기계산기!$B$56+$A74*G$65*손익분기계산기!$B$57)-입력값!$B$96)/입력값!$B$98,ROUNDUP(MAX(0,($A74*손익분기계산기!$B$56+$A74*G$65*손익분기계산기!$B$57)-입력값!$B$96)/입력값!$B$98,0))*입력값!$B$100)*12),입력값!$A$55)*입력값!$B$55+MAX(0,MIN(MAX(0,($A74*G$65*손익분기계산기!$B$54-손익분기계산기!$B$58-IF(입력값!$B$99="비례",MAX(0,($A74*손익분기계산기!$B$56+$A74*G$65*손익분기계산기!$B$57)-입력값!$B$96)/입력값!$B$98,ROUNDUP(MAX(0,($A74*손익분기계산기!$B$56+$A74*G$65*손익분기계산기!$B$57)-입력값!$B$96)/입력값!$B$98,0))*입력값!$B$100)*12),입력값!$A$56)-입력값!$A$55)*입력값!$B$56+MAX(0,MIN(MAX(0,($A74*G$65*손익분기계산기!$B$54-손익분기계산기!$B$58-IF(입력값!$B$99="비례",MAX(0,($A74*손익분기계산기!$B$56+$A74*G$65*손익분기계산기!$B$57)-입력값!$B$96)/입력값!$B$98,ROUNDUP(MAX(0,($A74*손익분기계산기!$B$56+$A74*G$65*손익분기계산기!$B$57)-입력값!$B$96)/입력값!$B$98,0))*입력값!$B$100)*12),입력값!$A$57)-입력값!$A$56)*입력값!$B$57+MAX(0,MAX(0,($A74*G$65*손익분기계산기!$B$54-손익분기계산기!$B$58-IF(입력값!$B$99="비례",MAX(0,($A74*손익분기계산기!$B$56+$A74*G$65*손익분기계산기!$B$57)-입력값!$B$96)/입력값!$B$98,ROUNDUP(MAX(0,($A74*손익분기계산기!$B$56+$A74*G$65*손익분기계산기!$B$57)-입력값!$B$96)/입력값!$B$98,0))*입력값!$B$100)*12)-입력값!$A$57)*입력값!$B$58)*(1+입력값!$B$59)*(1-입력값!$B$60)/12)-MAX(0,(($A74*G$65*손익분기계산기!$B$54-손익분기계산기!$B$58-IF(입력값!$B$99="비례",MAX(0,($A74*손익분기계산기!$B$56+$A74*G$65*손익분기계산기!$B$57)-입력값!$B$96)/입력값!$B$98,ROUNDUP(MAX(0,($A74*손익분기계산기!$B$56+$A74*G$65*손익분기계산기!$B$57)-입력값!$B$96)/입력값!$B$98,0))*입력값!$B$100)-(MIN(MAX(0,($A74*G$65*손익분기계산기!$B$54-손익분기계산기!$B$58-IF(입력값!$B$99="비례",MAX(0,($A74*손익분기계산기!$B$56+$A74*G$65*손익분기계산기!$B$57)-입력값!$B$96)/입력값!$B$98,ROUNDUP(MAX(0,($A74*손익분기계산기!$B$56+$A74*G$65*손익분기계산기!$B$57)-입력값!$B$96)/입력값!$B$98,0))*입력값!$B$100)*12),입력값!$A$55)*입력값!$B$55+MAX(0,MIN(MAX(0,($A74*G$65*손익분기계산기!$B$54-손익분기계산기!$B$58-IF(입력값!$B$99="비례",MAX(0,($A74*손익분기계산기!$B$56+$A74*G$65*손익분기계산기!$B$57)-입력값!$B$96)/입력값!$B$98,ROUNDUP(MAX(0,($A74*손익분기계산기!$B$56+$A74*G$65*손익분기계산기!$B$57)-입력값!$B$96)/입력값!$B$98,0))*입력값!$B$100)*12),입력값!$A$56)-입력값!$A$55)*입력값!$B$56+MAX(0,MIN(MAX(0,($A74*G$65*손익분기계산기!$B$54-손익분기계산기!$B$58-IF(입력값!$B$99="비례",MAX(0,($A74*손익분기계산기!$B$56+$A74*G$65*손익분기계산기!$B$57)-입력값!$B$96)/입력값!$B$98,ROUNDUP(MAX(0,($A74*손익분기계산기!$B$56+$A74*G$65*손익분기계산기!$B$57)-입력값!$B$96)/입력값!$B$98,0))*입력값!$B$100)*12),입력값!$A$57)-입력값!$A$56)*입력값!$B$57+MAX(0,MAX(0,($A74*G$65*손익분기계산기!$B$54-손익분기계산기!$B$58-IF(입력값!$B$99="비례",MAX(0,($A74*손익분기계산기!$B$56+$A74*G$65*손익분기계산기!$B$57)-입력값!$B$96)/입력값!$B$98,ROUNDUP(MAX(0,($A74*손익분기계산기!$B$56+$A74*G$65*손익분기계산기!$B$57)-입력값!$B$96)/입력값!$B$98,0))*입력값!$B$100)*12)-입력값!$A$57)*입력값!$B$58)*(1+입력값!$B$59)*(1-입력값!$B$60)/12))*입력값!$B$64</f>
        <v/>
      </c>
      <c r="H74" s="20">
        <f>(($A74*H$65*손익분기계산기!$B$54-손익분기계산기!$B$58-IF(입력값!$B$99="비례",MAX(0,($A74*손익분기계산기!$B$56+$A74*H$65*손익분기계산기!$B$57)-입력값!$B$96)/입력값!$B$98,ROUNDUP(MAX(0,($A74*손익분기계산기!$B$56+$A74*H$65*손익분기계산기!$B$57)-입력값!$B$96)/입력값!$B$98,0))*입력값!$B$100)-(MIN(MAX(0,($A74*H$65*손익분기계산기!$B$54-손익분기계산기!$B$58-IF(입력값!$B$99="비례",MAX(0,($A74*손익분기계산기!$B$56+$A74*H$65*손익분기계산기!$B$57)-입력값!$B$96)/입력값!$B$98,ROUNDUP(MAX(0,($A74*손익분기계산기!$B$56+$A74*H$65*손익분기계산기!$B$57)-입력값!$B$96)/입력값!$B$98,0))*입력값!$B$100)*12),입력값!$A$55)*입력값!$B$55+MAX(0,MIN(MAX(0,($A74*H$65*손익분기계산기!$B$54-손익분기계산기!$B$58-IF(입력값!$B$99="비례",MAX(0,($A74*손익분기계산기!$B$56+$A74*H$65*손익분기계산기!$B$57)-입력값!$B$96)/입력값!$B$98,ROUNDUP(MAX(0,($A74*손익분기계산기!$B$56+$A74*H$65*손익분기계산기!$B$57)-입력값!$B$96)/입력값!$B$98,0))*입력값!$B$100)*12),입력값!$A$56)-입력값!$A$55)*입력값!$B$56+MAX(0,MIN(MAX(0,($A74*H$65*손익분기계산기!$B$54-손익분기계산기!$B$58-IF(입력값!$B$99="비례",MAX(0,($A74*손익분기계산기!$B$56+$A74*H$65*손익분기계산기!$B$57)-입력값!$B$96)/입력값!$B$98,ROUNDUP(MAX(0,($A74*손익분기계산기!$B$56+$A74*H$65*손익분기계산기!$B$57)-입력값!$B$96)/입력값!$B$98,0))*입력값!$B$100)*12),입력값!$A$57)-입력값!$A$56)*입력값!$B$57+MAX(0,MAX(0,($A74*H$65*손익분기계산기!$B$54-손익분기계산기!$B$58-IF(입력값!$B$99="비례",MAX(0,($A74*손익분기계산기!$B$56+$A74*H$65*손익분기계산기!$B$57)-입력값!$B$96)/입력값!$B$98,ROUNDUP(MAX(0,($A74*손익분기계산기!$B$56+$A74*H$65*손익분기계산기!$B$57)-입력값!$B$96)/입력값!$B$98,0))*입력값!$B$100)*12)-입력값!$A$57)*입력값!$B$58)*(1+입력값!$B$59)*(1-입력값!$B$60)/12)-MAX(0,(($A74*H$65*손익분기계산기!$B$54-손익분기계산기!$B$58-IF(입력값!$B$99="비례",MAX(0,($A74*손익분기계산기!$B$56+$A74*H$65*손익분기계산기!$B$57)-입력값!$B$96)/입력값!$B$98,ROUNDUP(MAX(0,($A74*손익분기계산기!$B$56+$A74*H$65*손익분기계산기!$B$57)-입력값!$B$96)/입력값!$B$98,0))*입력값!$B$100)-(MIN(MAX(0,($A74*H$65*손익분기계산기!$B$54-손익분기계산기!$B$58-IF(입력값!$B$99="비례",MAX(0,($A74*손익분기계산기!$B$56+$A74*H$65*손익분기계산기!$B$57)-입력값!$B$96)/입력값!$B$98,ROUNDUP(MAX(0,($A74*손익분기계산기!$B$56+$A74*H$65*손익분기계산기!$B$57)-입력값!$B$96)/입력값!$B$98,0))*입력값!$B$100)*12),입력값!$A$55)*입력값!$B$55+MAX(0,MIN(MAX(0,($A74*H$65*손익분기계산기!$B$54-손익분기계산기!$B$58-IF(입력값!$B$99="비례",MAX(0,($A74*손익분기계산기!$B$56+$A74*H$65*손익분기계산기!$B$57)-입력값!$B$96)/입력값!$B$98,ROUNDUP(MAX(0,($A74*손익분기계산기!$B$56+$A74*H$65*손익분기계산기!$B$57)-입력값!$B$96)/입력값!$B$98,0))*입력값!$B$100)*12),입력값!$A$56)-입력값!$A$55)*입력값!$B$56+MAX(0,MIN(MAX(0,($A74*H$65*손익분기계산기!$B$54-손익분기계산기!$B$58-IF(입력값!$B$99="비례",MAX(0,($A74*손익분기계산기!$B$56+$A74*H$65*손익분기계산기!$B$57)-입력값!$B$96)/입력값!$B$98,ROUNDUP(MAX(0,($A74*손익분기계산기!$B$56+$A74*H$65*손익분기계산기!$B$57)-입력값!$B$96)/입력값!$B$98,0))*입력값!$B$100)*12),입력값!$A$57)-입력값!$A$56)*입력값!$B$57+MAX(0,MAX(0,($A74*H$65*손익분기계산기!$B$54-손익분기계산기!$B$58-IF(입력값!$B$99="비례",MAX(0,($A74*손익분기계산기!$B$56+$A74*H$65*손익분기계산기!$B$57)-입력값!$B$96)/입력값!$B$98,ROUNDUP(MAX(0,($A74*손익분기계산기!$B$56+$A74*H$65*손익분기계산기!$B$57)-입력값!$B$96)/입력값!$B$98,0))*입력값!$B$100)*12)-입력값!$A$57)*입력값!$B$58)*(1+입력값!$B$59)*(1-입력값!$B$60)/12))*입력값!$B$64</f>
        <v/>
      </c>
      <c r="I74" s="20">
        <f>(($A74*I$65*손익분기계산기!$B$54-손익분기계산기!$B$58-IF(입력값!$B$99="비례",MAX(0,($A74*손익분기계산기!$B$56+$A74*I$65*손익분기계산기!$B$57)-입력값!$B$96)/입력값!$B$98,ROUNDUP(MAX(0,($A74*손익분기계산기!$B$56+$A74*I$65*손익분기계산기!$B$57)-입력값!$B$96)/입력값!$B$98,0))*입력값!$B$100)-(MIN(MAX(0,($A74*I$65*손익분기계산기!$B$54-손익분기계산기!$B$58-IF(입력값!$B$99="비례",MAX(0,($A74*손익분기계산기!$B$56+$A74*I$65*손익분기계산기!$B$57)-입력값!$B$96)/입력값!$B$98,ROUNDUP(MAX(0,($A74*손익분기계산기!$B$56+$A74*I$65*손익분기계산기!$B$57)-입력값!$B$96)/입력값!$B$98,0))*입력값!$B$100)*12),입력값!$A$55)*입력값!$B$55+MAX(0,MIN(MAX(0,($A74*I$65*손익분기계산기!$B$54-손익분기계산기!$B$58-IF(입력값!$B$99="비례",MAX(0,($A74*손익분기계산기!$B$56+$A74*I$65*손익분기계산기!$B$57)-입력값!$B$96)/입력값!$B$98,ROUNDUP(MAX(0,($A74*손익분기계산기!$B$56+$A74*I$65*손익분기계산기!$B$57)-입력값!$B$96)/입력값!$B$98,0))*입력값!$B$100)*12),입력값!$A$56)-입력값!$A$55)*입력값!$B$56+MAX(0,MIN(MAX(0,($A74*I$65*손익분기계산기!$B$54-손익분기계산기!$B$58-IF(입력값!$B$99="비례",MAX(0,($A74*손익분기계산기!$B$56+$A74*I$65*손익분기계산기!$B$57)-입력값!$B$96)/입력값!$B$98,ROUNDUP(MAX(0,($A74*손익분기계산기!$B$56+$A74*I$65*손익분기계산기!$B$57)-입력값!$B$96)/입력값!$B$98,0))*입력값!$B$100)*12),입력값!$A$57)-입력값!$A$56)*입력값!$B$57+MAX(0,MAX(0,($A74*I$65*손익분기계산기!$B$54-손익분기계산기!$B$58-IF(입력값!$B$99="비례",MAX(0,($A74*손익분기계산기!$B$56+$A74*I$65*손익분기계산기!$B$57)-입력값!$B$96)/입력값!$B$98,ROUNDUP(MAX(0,($A74*손익분기계산기!$B$56+$A74*I$65*손익분기계산기!$B$57)-입력값!$B$96)/입력값!$B$98,0))*입력값!$B$100)*12)-입력값!$A$57)*입력값!$B$58)*(1+입력값!$B$59)*(1-입력값!$B$60)/12)-MAX(0,(($A74*I$65*손익분기계산기!$B$54-손익분기계산기!$B$58-IF(입력값!$B$99="비례",MAX(0,($A74*손익분기계산기!$B$56+$A74*I$65*손익분기계산기!$B$57)-입력값!$B$96)/입력값!$B$98,ROUNDUP(MAX(0,($A74*손익분기계산기!$B$56+$A74*I$65*손익분기계산기!$B$57)-입력값!$B$96)/입력값!$B$98,0))*입력값!$B$100)-(MIN(MAX(0,($A74*I$65*손익분기계산기!$B$54-손익분기계산기!$B$58-IF(입력값!$B$99="비례",MAX(0,($A74*손익분기계산기!$B$56+$A74*I$65*손익분기계산기!$B$57)-입력값!$B$96)/입력값!$B$98,ROUNDUP(MAX(0,($A74*손익분기계산기!$B$56+$A74*I$65*손익분기계산기!$B$57)-입력값!$B$96)/입력값!$B$98,0))*입력값!$B$100)*12),입력값!$A$55)*입력값!$B$55+MAX(0,MIN(MAX(0,($A74*I$65*손익분기계산기!$B$54-손익분기계산기!$B$58-IF(입력값!$B$99="비례",MAX(0,($A74*손익분기계산기!$B$56+$A74*I$65*손익분기계산기!$B$57)-입력값!$B$96)/입력값!$B$98,ROUNDUP(MAX(0,($A74*손익분기계산기!$B$56+$A74*I$65*손익분기계산기!$B$57)-입력값!$B$96)/입력값!$B$98,0))*입력값!$B$100)*12),입력값!$A$56)-입력값!$A$55)*입력값!$B$56+MAX(0,MIN(MAX(0,($A74*I$65*손익분기계산기!$B$54-손익분기계산기!$B$58-IF(입력값!$B$99="비례",MAX(0,($A74*손익분기계산기!$B$56+$A74*I$65*손익분기계산기!$B$57)-입력값!$B$96)/입력값!$B$98,ROUNDUP(MAX(0,($A74*손익분기계산기!$B$56+$A74*I$65*손익분기계산기!$B$57)-입력값!$B$96)/입력값!$B$98,0))*입력값!$B$100)*12),입력값!$A$57)-입력값!$A$56)*입력값!$B$57+MAX(0,MAX(0,($A74*I$65*손익분기계산기!$B$54-손익분기계산기!$B$58-IF(입력값!$B$99="비례",MAX(0,($A74*손익분기계산기!$B$56+$A74*I$65*손익분기계산기!$B$57)-입력값!$B$96)/입력값!$B$98,ROUNDUP(MAX(0,($A74*손익분기계산기!$B$56+$A74*I$65*손익분기계산기!$B$57)-입력값!$B$96)/입력값!$B$98,0))*입력값!$B$100)*12)-입력값!$A$57)*입력값!$B$58)*(1+입력값!$B$59)*(1-입력값!$B$60)/12))*입력값!$B$64</f>
        <v/>
      </c>
    </row>
    <row r="75">
      <c r="A75" s="24" t="n">
        <v>100</v>
      </c>
      <c r="B75" s="20">
        <f>(($A75*B$65*손익분기계산기!$B$54-손익분기계산기!$B$58-IF(입력값!$B$99="비례",MAX(0,($A75*손익분기계산기!$B$56+$A75*B$65*손익분기계산기!$B$57)-입력값!$B$96)/입력값!$B$98,ROUNDUP(MAX(0,($A75*손익분기계산기!$B$56+$A75*B$65*손익분기계산기!$B$57)-입력값!$B$96)/입력값!$B$98,0))*입력값!$B$100)-(MIN(MAX(0,($A75*B$65*손익분기계산기!$B$54-손익분기계산기!$B$58-IF(입력값!$B$99="비례",MAX(0,($A75*손익분기계산기!$B$56+$A75*B$65*손익분기계산기!$B$57)-입력값!$B$96)/입력값!$B$98,ROUNDUP(MAX(0,($A75*손익분기계산기!$B$56+$A75*B$65*손익분기계산기!$B$57)-입력값!$B$96)/입력값!$B$98,0))*입력값!$B$100)*12),입력값!$A$55)*입력값!$B$55+MAX(0,MIN(MAX(0,($A75*B$65*손익분기계산기!$B$54-손익분기계산기!$B$58-IF(입력값!$B$99="비례",MAX(0,($A75*손익분기계산기!$B$56+$A75*B$65*손익분기계산기!$B$57)-입력값!$B$96)/입력값!$B$98,ROUNDUP(MAX(0,($A75*손익분기계산기!$B$56+$A75*B$65*손익분기계산기!$B$57)-입력값!$B$96)/입력값!$B$98,0))*입력값!$B$100)*12),입력값!$A$56)-입력값!$A$55)*입력값!$B$56+MAX(0,MIN(MAX(0,($A75*B$65*손익분기계산기!$B$54-손익분기계산기!$B$58-IF(입력값!$B$99="비례",MAX(0,($A75*손익분기계산기!$B$56+$A75*B$65*손익분기계산기!$B$57)-입력값!$B$96)/입력값!$B$98,ROUNDUP(MAX(0,($A75*손익분기계산기!$B$56+$A75*B$65*손익분기계산기!$B$57)-입력값!$B$96)/입력값!$B$98,0))*입력값!$B$100)*12),입력값!$A$57)-입력값!$A$56)*입력값!$B$57+MAX(0,MAX(0,($A75*B$65*손익분기계산기!$B$54-손익분기계산기!$B$58-IF(입력값!$B$99="비례",MAX(0,($A75*손익분기계산기!$B$56+$A75*B$65*손익분기계산기!$B$57)-입력값!$B$96)/입력값!$B$98,ROUNDUP(MAX(0,($A75*손익분기계산기!$B$56+$A75*B$65*손익분기계산기!$B$57)-입력값!$B$96)/입력값!$B$98,0))*입력값!$B$100)*12)-입력값!$A$57)*입력값!$B$58)*(1+입력값!$B$59)*(1-입력값!$B$60)/12)-MAX(0,(($A75*B$65*손익분기계산기!$B$54-손익분기계산기!$B$58-IF(입력값!$B$99="비례",MAX(0,($A75*손익분기계산기!$B$56+$A75*B$65*손익분기계산기!$B$57)-입력값!$B$96)/입력값!$B$98,ROUNDUP(MAX(0,($A75*손익분기계산기!$B$56+$A75*B$65*손익분기계산기!$B$57)-입력값!$B$96)/입력값!$B$98,0))*입력값!$B$100)-(MIN(MAX(0,($A75*B$65*손익분기계산기!$B$54-손익분기계산기!$B$58-IF(입력값!$B$99="비례",MAX(0,($A75*손익분기계산기!$B$56+$A75*B$65*손익분기계산기!$B$57)-입력값!$B$96)/입력값!$B$98,ROUNDUP(MAX(0,($A75*손익분기계산기!$B$56+$A75*B$65*손익분기계산기!$B$57)-입력값!$B$96)/입력값!$B$98,0))*입력값!$B$100)*12),입력값!$A$55)*입력값!$B$55+MAX(0,MIN(MAX(0,($A75*B$65*손익분기계산기!$B$54-손익분기계산기!$B$58-IF(입력값!$B$99="비례",MAX(0,($A75*손익분기계산기!$B$56+$A75*B$65*손익분기계산기!$B$57)-입력값!$B$96)/입력값!$B$98,ROUNDUP(MAX(0,($A75*손익분기계산기!$B$56+$A75*B$65*손익분기계산기!$B$57)-입력값!$B$96)/입력값!$B$98,0))*입력값!$B$100)*12),입력값!$A$56)-입력값!$A$55)*입력값!$B$56+MAX(0,MIN(MAX(0,($A75*B$65*손익분기계산기!$B$54-손익분기계산기!$B$58-IF(입력값!$B$99="비례",MAX(0,($A75*손익분기계산기!$B$56+$A75*B$65*손익분기계산기!$B$57)-입력값!$B$96)/입력값!$B$98,ROUNDUP(MAX(0,($A75*손익분기계산기!$B$56+$A75*B$65*손익분기계산기!$B$57)-입력값!$B$96)/입력값!$B$98,0))*입력값!$B$100)*12),입력값!$A$57)-입력값!$A$56)*입력값!$B$57+MAX(0,MAX(0,($A75*B$65*손익분기계산기!$B$54-손익분기계산기!$B$58-IF(입력값!$B$99="비례",MAX(0,($A75*손익분기계산기!$B$56+$A75*B$65*손익분기계산기!$B$57)-입력값!$B$96)/입력값!$B$98,ROUNDUP(MAX(0,($A75*손익분기계산기!$B$56+$A75*B$65*손익분기계산기!$B$57)-입력값!$B$96)/입력값!$B$98,0))*입력값!$B$100)*12)-입력값!$A$57)*입력값!$B$58)*(1+입력값!$B$59)*(1-입력값!$B$60)/12))*입력값!$B$64</f>
        <v/>
      </c>
      <c r="C75" s="20">
        <f>(($A75*C$65*손익분기계산기!$B$54-손익분기계산기!$B$58-IF(입력값!$B$99="비례",MAX(0,($A75*손익분기계산기!$B$56+$A75*C$65*손익분기계산기!$B$57)-입력값!$B$96)/입력값!$B$98,ROUNDUP(MAX(0,($A75*손익분기계산기!$B$56+$A75*C$65*손익분기계산기!$B$57)-입력값!$B$96)/입력값!$B$98,0))*입력값!$B$100)-(MIN(MAX(0,($A75*C$65*손익분기계산기!$B$54-손익분기계산기!$B$58-IF(입력값!$B$99="비례",MAX(0,($A75*손익분기계산기!$B$56+$A75*C$65*손익분기계산기!$B$57)-입력값!$B$96)/입력값!$B$98,ROUNDUP(MAX(0,($A75*손익분기계산기!$B$56+$A75*C$65*손익분기계산기!$B$57)-입력값!$B$96)/입력값!$B$98,0))*입력값!$B$100)*12),입력값!$A$55)*입력값!$B$55+MAX(0,MIN(MAX(0,($A75*C$65*손익분기계산기!$B$54-손익분기계산기!$B$58-IF(입력값!$B$99="비례",MAX(0,($A75*손익분기계산기!$B$56+$A75*C$65*손익분기계산기!$B$57)-입력값!$B$96)/입력값!$B$98,ROUNDUP(MAX(0,($A75*손익분기계산기!$B$56+$A75*C$65*손익분기계산기!$B$57)-입력값!$B$96)/입력값!$B$98,0))*입력값!$B$100)*12),입력값!$A$56)-입력값!$A$55)*입력값!$B$56+MAX(0,MIN(MAX(0,($A75*C$65*손익분기계산기!$B$54-손익분기계산기!$B$58-IF(입력값!$B$99="비례",MAX(0,($A75*손익분기계산기!$B$56+$A75*C$65*손익분기계산기!$B$57)-입력값!$B$96)/입력값!$B$98,ROUNDUP(MAX(0,($A75*손익분기계산기!$B$56+$A75*C$65*손익분기계산기!$B$57)-입력값!$B$96)/입력값!$B$98,0))*입력값!$B$100)*12),입력값!$A$57)-입력값!$A$56)*입력값!$B$57+MAX(0,MAX(0,($A75*C$65*손익분기계산기!$B$54-손익분기계산기!$B$58-IF(입력값!$B$99="비례",MAX(0,($A75*손익분기계산기!$B$56+$A75*C$65*손익분기계산기!$B$57)-입력값!$B$96)/입력값!$B$98,ROUNDUP(MAX(0,($A75*손익분기계산기!$B$56+$A75*C$65*손익분기계산기!$B$57)-입력값!$B$96)/입력값!$B$98,0))*입력값!$B$100)*12)-입력값!$A$57)*입력값!$B$58)*(1+입력값!$B$59)*(1-입력값!$B$60)/12)-MAX(0,(($A75*C$65*손익분기계산기!$B$54-손익분기계산기!$B$58-IF(입력값!$B$99="비례",MAX(0,($A75*손익분기계산기!$B$56+$A75*C$65*손익분기계산기!$B$57)-입력값!$B$96)/입력값!$B$98,ROUNDUP(MAX(0,($A75*손익분기계산기!$B$56+$A75*C$65*손익분기계산기!$B$57)-입력값!$B$96)/입력값!$B$98,0))*입력값!$B$100)-(MIN(MAX(0,($A75*C$65*손익분기계산기!$B$54-손익분기계산기!$B$58-IF(입력값!$B$99="비례",MAX(0,($A75*손익분기계산기!$B$56+$A75*C$65*손익분기계산기!$B$57)-입력값!$B$96)/입력값!$B$98,ROUNDUP(MAX(0,($A75*손익분기계산기!$B$56+$A75*C$65*손익분기계산기!$B$57)-입력값!$B$96)/입력값!$B$98,0))*입력값!$B$100)*12),입력값!$A$55)*입력값!$B$55+MAX(0,MIN(MAX(0,($A75*C$65*손익분기계산기!$B$54-손익분기계산기!$B$58-IF(입력값!$B$99="비례",MAX(0,($A75*손익분기계산기!$B$56+$A75*C$65*손익분기계산기!$B$57)-입력값!$B$96)/입력값!$B$98,ROUNDUP(MAX(0,($A75*손익분기계산기!$B$56+$A75*C$65*손익분기계산기!$B$57)-입력값!$B$96)/입력값!$B$98,0))*입력값!$B$100)*12),입력값!$A$56)-입력값!$A$55)*입력값!$B$56+MAX(0,MIN(MAX(0,($A75*C$65*손익분기계산기!$B$54-손익분기계산기!$B$58-IF(입력값!$B$99="비례",MAX(0,($A75*손익분기계산기!$B$56+$A75*C$65*손익분기계산기!$B$57)-입력값!$B$96)/입력값!$B$98,ROUNDUP(MAX(0,($A75*손익분기계산기!$B$56+$A75*C$65*손익분기계산기!$B$57)-입력값!$B$96)/입력값!$B$98,0))*입력값!$B$100)*12),입력값!$A$57)-입력값!$A$56)*입력값!$B$57+MAX(0,MAX(0,($A75*C$65*손익분기계산기!$B$54-손익분기계산기!$B$58-IF(입력값!$B$99="비례",MAX(0,($A75*손익분기계산기!$B$56+$A75*C$65*손익분기계산기!$B$57)-입력값!$B$96)/입력값!$B$98,ROUNDUP(MAX(0,($A75*손익분기계산기!$B$56+$A75*C$65*손익분기계산기!$B$57)-입력값!$B$96)/입력값!$B$98,0))*입력값!$B$100)*12)-입력값!$A$57)*입력값!$B$58)*(1+입력값!$B$59)*(1-입력값!$B$60)/12))*입력값!$B$64</f>
        <v/>
      </c>
      <c r="D75" s="20">
        <f>(($A75*D$65*손익분기계산기!$B$54-손익분기계산기!$B$58-IF(입력값!$B$99="비례",MAX(0,($A75*손익분기계산기!$B$56+$A75*D$65*손익분기계산기!$B$57)-입력값!$B$96)/입력값!$B$98,ROUNDUP(MAX(0,($A75*손익분기계산기!$B$56+$A75*D$65*손익분기계산기!$B$57)-입력값!$B$96)/입력값!$B$98,0))*입력값!$B$100)-(MIN(MAX(0,($A75*D$65*손익분기계산기!$B$54-손익분기계산기!$B$58-IF(입력값!$B$99="비례",MAX(0,($A75*손익분기계산기!$B$56+$A75*D$65*손익분기계산기!$B$57)-입력값!$B$96)/입력값!$B$98,ROUNDUP(MAX(0,($A75*손익분기계산기!$B$56+$A75*D$65*손익분기계산기!$B$57)-입력값!$B$96)/입력값!$B$98,0))*입력값!$B$100)*12),입력값!$A$55)*입력값!$B$55+MAX(0,MIN(MAX(0,($A75*D$65*손익분기계산기!$B$54-손익분기계산기!$B$58-IF(입력값!$B$99="비례",MAX(0,($A75*손익분기계산기!$B$56+$A75*D$65*손익분기계산기!$B$57)-입력값!$B$96)/입력값!$B$98,ROUNDUP(MAX(0,($A75*손익분기계산기!$B$56+$A75*D$65*손익분기계산기!$B$57)-입력값!$B$96)/입력값!$B$98,0))*입력값!$B$100)*12),입력값!$A$56)-입력값!$A$55)*입력값!$B$56+MAX(0,MIN(MAX(0,($A75*D$65*손익분기계산기!$B$54-손익분기계산기!$B$58-IF(입력값!$B$99="비례",MAX(0,($A75*손익분기계산기!$B$56+$A75*D$65*손익분기계산기!$B$57)-입력값!$B$96)/입력값!$B$98,ROUNDUP(MAX(0,($A75*손익분기계산기!$B$56+$A75*D$65*손익분기계산기!$B$57)-입력값!$B$96)/입력값!$B$98,0))*입력값!$B$100)*12),입력값!$A$57)-입력값!$A$56)*입력값!$B$57+MAX(0,MAX(0,($A75*D$65*손익분기계산기!$B$54-손익분기계산기!$B$58-IF(입력값!$B$99="비례",MAX(0,($A75*손익분기계산기!$B$56+$A75*D$65*손익분기계산기!$B$57)-입력값!$B$96)/입력값!$B$98,ROUNDUP(MAX(0,($A75*손익분기계산기!$B$56+$A75*D$65*손익분기계산기!$B$57)-입력값!$B$96)/입력값!$B$98,0))*입력값!$B$100)*12)-입력값!$A$57)*입력값!$B$58)*(1+입력값!$B$59)*(1-입력값!$B$60)/12)-MAX(0,(($A75*D$65*손익분기계산기!$B$54-손익분기계산기!$B$58-IF(입력값!$B$99="비례",MAX(0,($A75*손익분기계산기!$B$56+$A75*D$65*손익분기계산기!$B$57)-입력값!$B$96)/입력값!$B$98,ROUNDUP(MAX(0,($A75*손익분기계산기!$B$56+$A75*D$65*손익분기계산기!$B$57)-입력값!$B$96)/입력값!$B$98,0))*입력값!$B$100)-(MIN(MAX(0,($A75*D$65*손익분기계산기!$B$54-손익분기계산기!$B$58-IF(입력값!$B$99="비례",MAX(0,($A75*손익분기계산기!$B$56+$A75*D$65*손익분기계산기!$B$57)-입력값!$B$96)/입력값!$B$98,ROUNDUP(MAX(0,($A75*손익분기계산기!$B$56+$A75*D$65*손익분기계산기!$B$57)-입력값!$B$96)/입력값!$B$98,0))*입력값!$B$100)*12),입력값!$A$55)*입력값!$B$55+MAX(0,MIN(MAX(0,($A75*D$65*손익분기계산기!$B$54-손익분기계산기!$B$58-IF(입력값!$B$99="비례",MAX(0,($A75*손익분기계산기!$B$56+$A75*D$65*손익분기계산기!$B$57)-입력값!$B$96)/입력값!$B$98,ROUNDUP(MAX(0,($A75*손익분기계산기!$B$56+$A75*D$65*손익분기계산기!$B$57)-입력값!$B$96)/입력값!$B$98,0))*입력값!$B$100)*12),입력값!$A$56)-입력값!$A$55)*입력값!$B$56+MAX(0,MIN(MAX(0,($A75*D$65*손익분기계산기!$B$54-손익분기계산기!$B$58-IF(입력값!$B$99="비례",MAX(0,($A75*손익분기계산기!$B$56+$A75*D$65*손익분기계산기!$B$57)-입력값!$B$96)/입력값!$B$98,ROUNDUP(MAX(0,($A75*손익분기계산기!$B$56+$A75*D$65*손익분기계산기!$B$57)-입력값!$B$96)/입력값!$B$98,0))*입력값!$B$100)*12),입력값!$A$57)-입력값!$A$56)*입력값!$B$57+MAX(0,MAX(0,($A75*D$65*손익분기계산기!$B$54-손익분기계산기!$B$58-IF(입력값!$B$99="비례",MAX(0,($A75*손익분기계산기!$B$56+$A75*D$65*손익분기계산기!$B$57)-입력값!$B$96)/입력값!$B$98,ROUNDUP(MAX(0,($A75*손익분기계산기!$B$56+$A75*D$65*손익분기계산기!$B$57)-입력값!$B$96)/입력값!$B$98,0))*입력값!$B$100)*12)-입력값!$A$57)*입력값!$B$58)*(1+입력값!$B$59)*(1-입력값!$B$60)/12))*입력값!$B$64</f>
        <v/>
      </c>
      <c r="E75" s="20">
        <f>(($A75*E$65*손익분기계산기!$B$54-손익분기계산기!$B$58-IF(입력값!$B$99="비례",MAX(0,($A75*손익분기계산기!$B$56+$A75*E$65*손익분기계산기!$B$57)-입력값!$B$96)/입력값!$B$98,ROUNDUP(MAX(0,($A75*손익분기계산기!$B$56+$A75*E$65*손익분기계산기!$B$57)-입력값!$B$96)/입력값!$B$98,0))*입력값!$B$100)-(MIN(MAX(0,($A75*E$65*손익분기계산기!$B$54-손익분기계산기!$B$58-IF(입력값!$B$99="비례",MAX(0,($A75*손익분기계산기!$B$56+$A75*E$65*손익분기계산기!$B$57)-입력값!$B$96)/입력값!$B$98,ROUNDUP(MAX(0,($A75*손익분기계산기!$B$56+$A75*E$65*손익분기계산기!$B$57)-입력값!$B$96)/입력값!$B$98,0))*입력값!$B$100)*12),입력값!$A$55)*입력값!$B$55+MAX(0,MIN(MAX(0,($A75*E$65*손익분기계산기!$B$54-손익분기계산기!$B$58-IF(입력값!$B$99="비례",MAX(0,($A75*손익분기계산기!$B$56+$A75*E$65*손익분기계산기!$B$57)-입력값!$B$96)/입력값!$B$98,ROUNDUP(MAX(0,($A75*손익분기계산기!$B$56+$A75*E$65*손익분기계산기!$B$57)-입력값!$B$96)/입력값!$B$98,0))*입력값!$B$100)*12),입력값!$A$56)-입력값!$A$55)*입력값!$B$56+MAX(0,MIN(MAX(0,($A75*E$65*손익분기계산기!$B$54-손익분기계산기!$B$58-IF(입력값!$B$99="비례",MAX(0,($A75*손익분기계산기!$B$56+$A75*E$65*손익분기계산기!$B$57)-입력값!$B$96)/입력값!$B$98,ROUNDUP(MAX(0,($A75*손익분기계산기!$B$56+$A75*E$65*손익분기계산기!$B$57)-입력값!$B$96)/입력값!$B$98,0))*입력값!$B$100)*12),입력값!$A$57)-입력값!$A$56)*입력값!$B$57+MAX(0,MAX(0,($A75*E$65*손익분기계산기!$B$54-손익분기계산기!$B$58-IF(입력값!$B$99="비례",MAX(0,($A75*손익분기계산기!$B$56+$A75*E$65*손익분기계산기!$B$57)-입력값!$B$96)/입력값!$B$98,ROUNDUP(MAX(0,($A75*손익분기계산기!$B$56+$A75*E$65*손익분기계산기!$B$57)-입력값!$B$96)/입력값!$B$98,0))*입력값!$B$100)*12)-입력값!$A$57)*입력값!$B$58)*(1+입력값!$B$59)*(1-입력값!$B$60)/12)-MAX(0,(($A75*E$65*손익분기계산기!$B$54-손익분기계산기!$B$58-IF(입력값!$B$99="비례",MAX(0,($A75*손익분기계산기!$B$56+$A75*E$65*손익분기계산기!$B$57)-입력값!$B$96)/입력값!$B$98,ROUNDUP(MAX(0,($A75*손익분기계산기!$B$56+$A75*E$65*손익분기계산기!$B$57)-입력값!$B$96)/입력값!$B$98,0))*입력값!$B$100)-(MIN(MAX(0,($A75*E$65*손익분기계산기!$B$54-손익분기계산기!$B$58-IF(입력값!$B$99="비례",MAX(0,($A75*손익분기계산기!$B$56+$A75*E$65*손익분기계산기!$B$57)-입력값!$B$96)/입력값!$B$98,ROUNDUP(MAX(0,($A75*손익분기계산기!$B$56+$A75*E$65*손익분기계산기!$B$57)-입력값!$B$96)/입력값!$B$98,0))*입력값!$B$100)*12),입력값!$A$55)*입력값!$B$55+MAX(0,MIN(MAX(0,($A75*E$65*손익분기계산기!$B$54-손익분기계산기!$B$58-IF(입력값!$B$99="비례",MAX(0,($A75*손익분기계산기!$B$56+$A75*E$65*손익분기계산기!$B$57)-입력값!$B$96)/입력값!$B$98,ROUNDUP(MAX(0,($A75*손익분기계산기!$B$56+$A75*E$65*손익분기계산기!$B$57)-입력값!$B$96)/입력값!$B$98,0))*입력값!$B$100)*12),입력값!$A$56)-입력값!$A$55)*입력값!$B$56+MAX(0,MIN(MAX(0,($A75*E$65*손익분기계산기!$B$54-손익분기계산기!$B$58-IF(입력값!$B$99="비례",MAX(0,($A75*손익분기계산기!$B$56+$A75*E$65*손익분기계산기!$B$57)-입력값!$B$96)/입력값!$B$98,ROUNDUP(MAX(0,($A75*손익분기계산기!$B$56+$A75*E$65*손익분기계산기!$B$57)-입력값!$B$96)/입력값!$B$98,0))*입력값!$B$100)*12),입력값!$A$57)-입력값!$A$56)*입력값!$B$57+MAX(0,MAX(0,($A75*E$65*손익분기계산기!$B$54-손익분기계산기!$B$58-IF(입력값!$B$99="비례",MAX(0,($A75*손익분기계산기!$B$56+$A75*E$65*손익분기계산기!$B$57)-입력값!$B$96)/입력값!$B$98,ROUNDUP(MAX(0,($A75*손익분기계산기!$B$56+$A75*E$65*손익분기계산기!$B$57)-입력값!$B$96)/입력값!$B$98,0))*입력값!$B$100)*12)-입력값!$A$57)*입력값!$B$58)*(1+입력값!$B$59)*(1-입력값!$B$60)/12))*입력값!$B$64</f>
        <v/>
      </c>
      <c r="F75" s="20">
        <f>(($A75*F$65*손익분기계산기!$B$54-손익분기계산기!$B$58-IF(입력값!$B$99="비례",MAX(0,($A75*손익분기계산기!$B$56+$A75*F$65*손익분기계산기!$B$57)-입력값!$B$96)/입력값!$B$98,ROUNDUP(MAX(0,($A75*손익분기계산기!$B$56+$A75*F$65*손익분기계산기!$B$57)-입력값!$B$96)/입력값!$B$98,0))*입력값!$B$100)-(MIN(MAX(0,($A75*F$65*손익분기계산기!$B$54-손익분기계산기!$B$58-IF(입력값!$B$99="비례",MAX(0,($A75*손익분기계산기!$B$56+$A75*F$65*손익분기계산기!$B$57)-입력값!$B$96)/입력값!$B$98,ROUNDUP(MAX(0,($A75*손익분기계산기!$B$56+$A75*F$65*손익분기계산기!$B$57)-입력값!$B$96)/입력값!$B$98,0))*입력값!$B$100)*12),입력값!$A$55)*입력값!$B$55+MAX(0,MIN(MAX(0,($A75*F$65*손익분기계산기!$B$54-손익분기계산기!$B$58-IF(입력값!$B$99="비례",MAX(0,($A75*손익분기계산기!$B$56+$A75*F$65*손익분기계산기!$B$57)-입력값!$B$96)/입력값!$B$98,ROUNDUP(MAX(0,($A75*손익분기계산기!$B$56+$A75*F$65*손익분기계산기!$B$57)-입력값!$B$96)/입력값!$B$98,0))*입력값!$B$100)*12),입력값!$A$56)-입력값!$A$55)*입력값!$B$56+MAX(0,MIN(MAX(0,($A75*F$65*손익분기계산기!$B$54-손익분기계산기!$B$58-IF(입력값!$B$99="비례",MAX(0,($A75*손익분기계산기!$B$56+$A75*F$65*손익분기계산기!$B$57)-입력값!$B$96)/입력값!$B$98,ROUNDUP(MAX(0,($A75*손익분기계산기!$B$56+$A75*F$65*손익분기계산기!$B$57)-입력값!$B$96)/입력값!$B$98,0))*입력값!$B$100)*12),입력값!$A$57)-입력값!$A$56)*입력값!$B$57+MAX(0,MAX(0,($A75*F$65*손익분기계산기!$B$54-손익분기계산기!$B$58-IF(입력값!$B$99="비례",MAX(0,($A75*손익분기계산기!$B$56+$A75*F$65*손익분기계산기!$B$57)-입력값!$B$96)/입력값!$B$98,ROUNDUP(MAX(0,($A75*손익분기계산기!$B$56+$A75*F$65*손익분기계산기!$B$57)-입력값!$B$96)/입력값!$B$98,0))*입력값!$B$100)*12)-입력값!$A$57)*입력값!$B$58)*(1+입력값!$B$59)*(1-입력값!$B$60)/12)-MAX(0,(($A75*F$65*손익분기계산기!$B$54-손익분기계산기!$B$58-IF(입력값!$B$99="비례",MAX(0,($A75*손익분기계산기!$B$56+$A75*F$65*손익분기계산기!$B$57)-입력값!$B$96)/입력값!$B$98,ROUNDUP(MAX(0,($A75*손익분기계산기!$B$56+$A75*F$65*손익분기계산기!$B$57)-입력값!$B$96)/입력값!$B$98,0))*입력값!$B$100)-(MIN(MAX(0,($A75*F$65*손익분기계산기!$B$54-손익분기계산기!$B$58-IF(입력값!$B$99="비례",MAX(0,($A75*손익분기계산기!$B$56+$A75*F$65*손익분기계산기!$B$57)-입력값!$B$96)/입력값!$B$98,ROUNDUP(MAX(0,($A75*손익분기계산기!$B$56+$A75*F$65*손익분기계산기!$B$57)-입력값!$B$96)/입력값!$B$98,0))*입력값!$B$100)*12),입력값!$A$55)*입력값!$B$55+MAX(0,MIN(MAX(0,($A75*F$65*손익분기계산기!$B$54-손익분기계산기!$B$58-IF(입력값!$B$99="비례",MAX(0,($A75*손익분기계산기!$B$56+$A75*F$65*손익분기계산기!$B$57)-입력값!$B$96)/입력값!$B$98,ROUNDUP(MAX(0,($A75*손익분기계산기!$B$56+$A75*F$65*손익분기계산기!$B$57)-입력값!$B$96)/입력값!$B$98,0))*입력값!$B$100)*12),입력값!$A$56)-입력값!$A$55)*입력값!$B$56+MAX(0,MIN(MAX(0,($A75*F$65*손익분기계산기!$B$54-손익분기계산기!$B$58-IF(입력값!$B$99="비례",MAX(0,($A75*손익분기계산기!$B$56+$A75*F$65*손익분기계산기!$B$57)-입력값!$B$96)/입력값!$B$98,ROUNDUP(MAX(0,($A75*손익분기계산기!$B$56+$A75*F$65*손익분기계산기!$B$57)-입력값!$B$96)/입력값!$B$98,0))*입력값!$B$100)*12),입력값!$A$57)-입력값!$A$56)*입력값!$B$57+MAX(0,MAX(0,($A75*F$65*손익분기계산기!$B$54-손익분기계산기!$B$58-IF(입력값!$B$99="비례",MAX(0,($A75*손익분기계산기!$B$56+$A75*F$65*손익분기계산기!$B$57)-입력값!$B$96)/입력값!$B$98,ROUNDUP(MAX(0,($A75*손익분기계산기!$B$56+$A75*F$65*손익분기계산기!$B$57)-입력값!$B$96)/입력값!$B$98,0))*입력값!$B$100)*12)-입력값!$A$57)*입력값!$B$58)*(1+입력값!$B$59)*(1-입력값!$B$60)/12))*입력값!$B$64</f>
        <v/>
      </c>
      <c r="G75" s="20">
        <f>(($A75*G$65*손익분기계산기!$B$54-손익분기계산기!$B$58-IF(입력값!$B$99="비례",MAX(0,($A75*손익분기계산기!$B$56+$A75*G$65*손익분기계산기!$B$57)-입력값!$B$96)/입력값!$B$98,ROUNDUP(MAX(0,($A75*손익분기계산기!$B$56+$A75*G$65*손익분기계산기!$B$57)-입력값!$B$96)/입력값!$B$98,0))*입력값!$B$100)-(MIN(MAX(0,($A75*G$65*손익분기계산기!$B$54-손익분기계산기!$B$58-IF(입력값!$B$99="비례",MAX(0,($A75*손익분기계산기!$B$56+$A75*G$65*손익분기계산기!$B$57)-입력값!$B$96)/입력값!$B$98,ROUNDUP(MAX(0,($A75*손익분기계산기!$B$56+$A75*G$65*손익분기계산기!$B$57)-입력값!$B$96)/입력값!$B$98,0))*입력값!$B$100)*12),입력값!$A$55)*입력값!$B$55+MAX(0,MIN(MAX(0,($A75*G$65*손익분기계산기!$B$54-손익분기계산기!$B$58-IF(입력값!$B$99="비례",MAX(0,($A75*손익분기계산기!$B$56+$A75*G$65*손익분기계산기!$B$57)-입력값!$B$96)/입력값!$B$98,ROUNDUP(MAX(0,($A75*손익분기계산기!$B$56+$A75*G$65*손익분기계산기!$B$57)-입력값!$B$96)/입력값!$B$98,0))*입력값!$B$100)*12),입력값!$A$56)-입력값!$A$55)*입력값!$B$56+MAX(0,MIN(MAX(0,($A75*G$65*손익분기계산기!$B$54-손익분기계산기!$B$58-IF(입력값!$B$99="비례",MAX(0,($A75*손익분기계산기!$B$56+$A75*G$65*손익분기계산기!$B$57)-입력값!$B$96)/입력값!$B$98,ROUNDUP(MAX(0,($A75*손익분기계산기!$B$56+$A75*G$65*손익분기계산기!$B$57)-입력값!$B$96)/입력값!$B$98,0))*입력값!$B$100)*12),입력값!$A$57)-입력값!$A$56)*입력값!$B$57+MAX(0,MAX(0,($A75*G$65*손익분기계산기!$B$54-손익분기계산기!$B$58-IF(입력값!$B$99="비례",MAX(0,($A75*손익분기계산기!$B$56+$A75*G$65*손익분기계산기!$B$57)-입력값!$B$96)/입력값!$B$98,ROUNDUP(MAX(0,($A75*손익분기계산기!$B$56+$A75*G$65*손익분기계산기!$B$57)-입력값!$B$96)/입력값!$B$98,0))*입력값!$B$100)*12)-입력값!$A$57)*입력값!$B$58)*(1+입력값!$B$59)*(1-입력값!$B$60)/12)-MAX(0,(($A75*G$65*손익분기계산기!$B$54-손익분기계산기!$B$58-IF(입력값!$B$99="비례",MAX(0,($A75*손익분기계산기!$B$56+$A75*G$65*손익분기계산기!$B$57)-입력값!$B$96)/입력값!$B$98,ROUNDUP(MAX(0,($A75*손익분기계산기!$B$56+$A75*G$65*손익분기계산기!$B$57)-입력값!$B$96)/입력값!$B$98,0))*입력값!$B$100)-(MIN(MAX(0,($A75*G$65*손익분기계산기!$B$54-손익분기계산기!$B$58-IF(입력값!$B$99="비례",MAX(0,($A75*손익분기계산기!$B$56+$A75*G$65*손익분기계산기!$B$57)-입력값!$B$96)/입력값!$B$98,ROUNDUP(MAX(0,($A75*손익분기계산기!$B$56+$A75*G$65*손익분기계산기!$B$57)-입력값!$B$96)/입력값!$B$98,0))*입력값!$B$100)*12),입력값!$A$55)*입력값!$B$55+MAX(0,MIN(MAX(0,($A75*G$65*손익분기계산기!$B$54-손익분기계산기!$B$58-IF(입력값!$B$99="비례",MAX(0,($A75*손익분기계산기!$B$56+$A75*G$65*손익분기계산기!$B$57)-입력값!$B$96)/입력값!$B$98,ROUNDUP(MAX(0,($A75*손익분기계산기!$B$56+$A75*G$65*손익분기계산기!$B$57)-입력값!$B$96)/입력값!$B$98,0))*입력값!$B$100)*12),입력값!$A$56)-입력값!$A$55)*입력값!$B$56+MAX(0,MIN(MAX(0,($A75*G$65*손익분기계산기!$B$54-손익분기계산기!$B$58-IF(입력값!$B$99="비례",MAX(0,($A75*손익분기계산기!$B$56+$A75*G$65*손익분기계산기!$B$57)-입력값!$B$96)/입력값!$B$98,ROUNDUP(MAX(0,($A75*손익분기계산기!$B$56+$A75*G$65*손익분기계산기!$B$57)-입력값!$B$96)/입력값!$B$98,0))*입력값!$B$100)*12),입력값!$A$57)-입력값!$A$56)*입력값!$B$57+MAX(0,MAX(0,($A75*G$65*손익분기계산기!$B$54-손익분기계산기!$B$58-IF(입력값!$B$99="비례",MAX(0,($A75*손익분기계산기!$B$56+$A75*G$65*손익분기계산기!$B$57)-입력값!$B$96)/입력값!$B$98,ROUNDUP(MAX(0,($A75*손익분기계산기!$B$56+$A75*G$65*손익분기계산기!$B$57)-입력값!$B$96)/입력값!$B$98,0))*입력값!$B$100)*12)-입력값!$A$57)*입력값!$B$58)*(1+입력값!$B$59)*(1-입력값!$B$60)/12))*입력값!$B$64</f>
        <v/>
      </c>
      <c r="H75" s="20">
        <f>(($A75*H$65*손익분기계산기!$B$54-손익분기계산기!$B$58-IF(입력값!$B$99="비례",MAX(0,($A75*손익분기계산기!$B$56+$A75*H$65*손익분기계산기!$B$57)-입력값!$B$96)/입력값!$B$98,ROUNDUP(MAX(0,($A75*손익분기계산기!$B$56+$A75*H$65*손익분기계산기!$B$57)-입력값!$B$96)/입력값!$B$98,0))*입력값!$B$100)-(MIN(MAX(0,($A75*H$65*손익분기계산기!$B$54-손익분기계산기!$B$58-IF(입력값!$B$99="비례",MAX(0,($A75*손익분기계산기!$B$56+$A75*H$65*손익분기계산기!$B$57)-입력값!$B$96)/입력값!$B$98,ROUNDUP(MAX(0,($A75*손익분기계산기!$B$56+$A75*H$65*손익분기계산기!$B$57)-입력값!$B$96)/입력값!$B$98,0))*입력값!$B$100)*12),입력값!$A$55)*입력값!$B$55+MAX(0,MIN(MAX(0,($A75*H$65*손익분기계산기!$B$54-손익분기계산기!$B$58-IF(입력값!$B$99="비례",MAX(0,($A75*손익분기계산기!$B$56+$A75*H$65*손익분기계산기!$B$57)-입력값!$B$96)/입력값!$B$98,ROUNDUP(MAX(0,($A75*손익분기계산기!$B$56+$A75*H$65*손익분기계산기!$B$57)-입력값!$B$96)/입력값!$B$98,0))*입력값!$B$100)*12),입력값!$A$56)-입력값!$A$55)*입력값!$B$56+MAX(0,MIN(MAX(0,($A75*H$65*손익분기계산기!$B$54-손익분기계산기!$B$58-IF(입력값!$B$99="비례",MAX(0,($A75*손익분기계산기!$B$56+$A75*H$65*손익분기계산기!$B$57)-입력값!$B$96)/입력값!$B$98,ROUNDUP(MAX(0,($A75*손익분기계산기!$B$56+$A75*H$65*손익분기계산기!$B$57)-입력값!$B$96)/입력값!$B$98,0))*입력값!$B$100)*12),입력값!$A$57)-입력값!$A$56)*입력값!$B$57+MAX(0,MAX(0,($A75*H$65*손익분기계산기!$B$54-손익분기계산기!$B$58-IF(입력값!$B$99="비례",MAX(0,($A75*손익분기계산기!$B$56+$A75*H$65*손익분기계산기!$B$57)-입력값!$B$96)/입력값!$B$98,ROUNDUP(MAX(0,($A75*손익분기계산기!$B$56+$A75*H$65*손익분기계산기!$B$57)-입력값!$B$96)/입력값!$B$98,0))*입력값!$B$100)*12)-입력값!$A$57)*입력값!$B$58)*(1+입력값!$B$59)*(1-입력값!$B$60)/12)-MAX(0,(($A75*H$65*손익분기계산기!$B$54-손익분기계산기!$B$58-IF(입력값!$B$99="비례",MAX(0,($A75*손익분기계산기!$B$56+$A75*H$65*손익분기계산기!$B$57)-입력값!$B$96)/입력값!$B$98,ROUNDUP(MAX(0,($A75*손익분기계산기!$B$56+$A75*H$65*손익분기계산기!$B$57)-입력값!$B$96)/입력값!$B$98,0))*입력값!$B$100)-(MIN(MAX(0,($A75*H$65*손익분기계산기!$B$54-손익분기계산기!$B$58-IF(입력값!$B$99="비례",MAX(0,($A75*손익분기계산기!$B$56+$A75*H$65*손익분기계산기!$B$57)-입력값!$B$96)/입력값!$B$98,ROUNDUP(MAX(0,($A75*손익분기계산기!$B$56+$A75*H$65*손익분기계산기!$B$57)-입력값!$B$96)/입력값!$B$98,0))*입력값!$B$100)*12),입력값!$A$55)*입력값!$B$55+MAX(0,MIN(MAX(0,($A75*H$65*손익분기계산기!$B$54-손익분기계산기!$B$58-IF(입력값!$B$99="비례",MAX(0,($A75*손익분기계산기!$B$56+$A75*H$65*손익분기계산기!$B$57)-입력값!$B$96)/입력값!$B$98,ROUNDUP(MAX(0,($A75*손익분기계산기!$B$56+$A75*H$65*손익분기계산기!$B$57)-입력값!$B$96)/입력값!$B$98,0))*입력값!$B$100)*12),입력값!$A$56)-입력값!$A$55)*입력값!$B$56+MAX(0,MIN(MAX(0,($A75*H$65*손익분기계산기!$B$54-손익분기계산기!$B$58-IF(입력값!$B$99="비례",MAX(0,($A75*손익분기계산기!$B$56+$A75*H$65*손익분기계산기!$B$57)-입력값!$B$96)/입력값!$B$98,ROUNDUP(MAX(0,($A75*손익분기계산기!$B$56+$A75*H$65*손익분기계산기!$B$57)-입력값!$B$96)/입력값!$B$98,0))*입력값!$B$100)*12),입력값!$A$57)-입력값!$A$56)*입력값!$B$57+MAX(0,MAX(0,($A75*H$65*손익분기계산기!$B$54-손익분기계산기!$B$58-IF(입력값!$B$99="비례",MAX(0,($A75*손익분기계산기!$B$56+$A75*H$65*손익분기계산기!$B$57)-입력값!$B$96)/입력값!$B$98,ROUNDUP(MAX(0,($A75*손익분기계산기!$B$56+$A75*H$65*손익분기계산기!$B$57)-입력값!$B$96)/입력값!$B$98,0))*입력값!$B$100)*12)-입력값!$A$57)*입력값!$B$58)*(1+입력값!$B$59)*(1-입력값!$B$60)/12))*입력값!$B$64</f>
        <v/>
      </c>
      <c r="I75" s="20">
        <f>(($A75*I$65*손익분기계산기!$B$54-손익분기계산기!$B$58-IF(입력값!$B$99="비례",MAX(0,($A75*손익분기계산기!$B$56+$A75*I$65*손익분기계산기!$B$57)-입력값!$B$96)/입력값!$B$98,ROUNDUP(MAX(0,($A75*손익분기계산기!$B$56+$A75*I$65*손익분기계산기!$B$57)-입력값!$B$96)/입력값!$B$98,0))*입력값!$B$100)-(MIN(MAX(0,($A75*I$65*손익분기계산기!$B$54-손익분기계산기!$B$58-IF(입력값!$B$99="비례",MAX(0,($A75*손익분기계산기!$B$56+$A75*I$65*손익분기계산기!$B$57)-입력값!$B$96)/입력값!$B$98,ROUNDUP(MAX(0,($A75*손익분기계산기!$B$56+$A75*I$65*손익분기계산기!$B$57)-입력값!$B$96)/입력값!$B$98,0))*입력값!$B$100)*12),입력값!$A$55)*입력값!$B$55+MAX(0,MIN(MAX(0,($A75*I$65*손익분기계산기!$B$54-손익분기계산기!$B$58-IF(입력값!$B$99="비례",MAX(0,($A75*손익분기계산기!$B$56+$A75*I$65*손익분기계산기!$B$57)-입력값!$B$96)/입력값!$B$98,ROUNDUP(MAX(0,($A75*손익분기계산기!$B$56+$A75*I$65*손익분기계산기!$B$57)-입력값!$B$96)/입력값!$B$98,0))*입력값!$B$100)*12),입력값!$A$56)-입력값!$A$55)*입력값!$B$56+MAX(0,MIN(MAX(0,($A75*I$65*손익분기계산기!$B$54-손익분기계산기!$B$58-IF(입력값!$B$99="비례",MAX(0,($A75*손익분기계산기!$B$56+$A75*I$65*손익분기계산기!$B$57)-입력값!$B$96)/입력값!$B$98,ROUNDUP(MAX(0,($A75*손익분기계산기!$B$56+$A75*I$65*손익분기계산기!$B$57)-입력값!$B$96)/입력값!$B$98,0))*입력값!$B$100)*12),입력값!$A$57)-입력값!$A$56)*입력값!$B$57+MAX(0,MAX(0,($A75*I$65*손익분기계산기!$B$54-손익분기계산기!$B$58-IF(입력값!$B$99="비례",MAX(0,($A75*손익분기계산기!$B$56+$A75*I$65*손익분기계산기!$B$57)-입력값!$B$96)/입력값!$B$98,ROUNDUP(MAX(0,($A75*손익분기계산기!$B$56+$A75*I$65*손익분기계산기!$B$57)-입력값!$B$96)/입력값!$B$98,0))*입력값!$B$100)*12)-입력값!$A$57)*입력값!$B$58)*(1+입력값!$B$59)*(1-입력값!$B$60)/12)-MAX(0,(($A75*I$65*손익분기계산기!$B$54-손익분기계산기!$B$58-IF(입력값!$B$99="비례",MAX(0,($A75*손익분기계산기!$B$56+$A75*I$65*손익분기계산기!$B$57)-입력값!$B$96)/입력값!$B$98,ROUNDUP(MAX(0,($A75*손익분기계산기!$B$56+$A75*I$65*손익분기계산기!$B$57)-입력값!$B$96)/입력값!$B$98,0))*입력값!$B$100)-(MIN(MAX(0,($A75*I$65*손익분기계산기!$B$54-손익분기계산기!$B$58-IF(입력값!$B$99="비례",MAX(0,($A75*손익분기계산기!$B$56+$A75*I$65*손익분기계산기!$B$57)-입력값!$B$96)/입력값!$B$98,ROUNDUP(MAX(0,($A75*손익분기계산기!$B$56+$A75*I$65*손익분기계산기!$B$57)-입력값!$B$96)/입력값!$B$98,0))*입력값!$B$100)*12),입력값!$A$55)*입력값!$B$55+MAX(0,MIN(MAX(0,($A75*I$65*손익분기계산기!$B$54-손익분기계산기!$B$58-IF(입력값!$B$99="비례",MAX(0,($A75*손익분기계산기!$B$56+$A75*I$65*손익분기계산기!$B$57)-입력값!$B$96)/입력값!$B$98,ROUNDUP(MAX(0,($A75*손익분기계산기!$B$56+$A75*I$65*손익분기계산기!$B$57)-입력값!$B$96)/입력값!$B$98,0))*입력값!$B$100)*12),입력값!$A$56)-입력값!$A$55)*입력값!$B$56+MAX(0,MIN(MAX(0,($A75*I$65*손익분기계산기!$B$54-손익분기계산기!$B$58-IF(입력값!$B$99="비례",MAX(0,($A75*손익분기계산기!$B$56+$A75*I$65*손익분기계산기!$B$57)-입력값!$B$96)/입력값!$B$98,ROUNDUP(MAX(0,($A75*손익분기계산기!$B$56+$A75*I$65*손익분기계산기!$B$57)-입력값!$B$96)/입력값!$B$98,0))*입력값!$B$100)*12),입력값!$A$57)-입력값!$A$56)*입력값!$B$57+MAX(0,MAX(0,($A75*I$65*손익분기계산기!$B$54-손익분기계산기!$B$58-IF(입력값!$B$99="비례",MAX(0,($A75*손익분기계산기!$B$56+$A75*I$65*손익분기계산기!$B$57)-입력값!$B$96)/입력값!$B$98,ROUNDUP(MAX(0,($A75*손익분기계산기!$B$56+$A75*I$65*손익분기계산기!$B$57)-입력값!$B$96)/입력값!$B$98,0))*입력값!$B$100)*12)-입력값!$A$57)*입력값!$B$58)*(1+입력값!$B$59)*(1-입력값!$B$60)/12))*입력값!$B$64</f>
        <v/>
      </c>
    </row>
    <row r="76">
      <c r="A76" s="24" t="n">
        <v>150</v>
      </c>
      <c r="B76" s="20">
        <f>(($A76*B$65*손익분기계산기!$B$54-손익분기계산기!$B$58-IF(입력값!$B$99="비례",MAX(0,($A76*손익분기계산기!$B$56+$A76*B$65*손익분기계산기!$B$57)-입력값!$B$96)/입력값!$B$98,ROUNDUP(MAX(0,($A76*손익분기계산기!$B$56+$A76*B$65*손익분기계산기!$B$57)-입력값!$B$96)/입력값!$B$98,0))*입력값!$B$100)-(MIN(MAX(0,($A76*B$65*손익분기계산기!$B$54-손익분기계산기!$B$58-IF(입력값!$B$99="비례",MAX(0,($A76*손익분기계산기!$B$56+$A76*B$65*손익분기계산기!$B$57)-입력값!$B$96)/입력값!$B$98,ROUNDUP(MAX(0,($A76*손익분기계산기!$B$56+$A76*B$65*손익분기계산기!$B$57)-입력값!$B$96)/입력값!$B$98,0))*입력값!$B$100)*12),입력값!$A$55)*입력값!$B$55+MAX(0,MIN(MAX(0,($A76*B$65*손익분기계산기!$B$54-손익분기계산기!$B$58-IF(입력값!$B$99="비례",MAX(0,($A76*손익분기계산기!$B$56+$A76*B$65*손익분기계산기!$B$57)-입력값!$B$96)/입력값!$B$98,ROUNDUP(MAX(0,($A76*손익분기계산기!$B$56+$A76*B$65*손익분기계산기!$B$57)-입력값!$B$96)/입력값!$B$98,0))*입력값!$B$100)*12),입력값!$A$56)-입력값!$A$55)*입력값!$B$56+MAX(0,MIN(MAX(0,($A76*B$65*손익분기계산기!$B$54-손익분기계산기!$B$58-IF(입력값!$B$99="비례",MAX(0,($A76*손익분기계산기!$B$56+$A76*B$65*손익분기계산기!$B$57)-입력값!$B$96)/입력값!$B$98,ROUNDUP(MAX(0,($A76*손익분기계산기!$B$56+$A76*B$65*손익분기계산기!$B$57)-입력값!$B$96)/입력값!$B$98,0))*입력값!$B$100)*12),입력값!$A$57)-입력값!$A$56)*입력값!$B$57+MAX(0,MAX(0,($A76*B$65*손익분기계산기!$B$54-손익분기계산기!$B$58-IF(입력값!$B$99="비례",MAX(0,($A76*손익분기계산기!$B$56+$A76*B$65*손익분기계산기!$B$57)-입력값!$B$96)/입력값!$B$98,ROUNDUP(MAX(0,($A76*손익분기계산기!$B$56+$A76*B$65*손익분기계산기!$B$57)-입력값!$B$96)/입력값!$B$98,0))*입력값!$B$100)*12)-입력값!$A$57)*입력값!$B$58)*(1+입력값!$B$59)*(1-입력값!$B$60)/12)-MAX(0,(($A76*B$65*손익분기계산기!$B$54-손익분기계산기!$B$58-IF(입력값!$B$99="비례",MAX(0,($A76*손익분기계산기!$B$56+$A76*B$65*손익분기계산기!$B$57)-입력값!$B$96)/입력값!$B$98,ROUNDUP(MAX(0,($A76*손익분기계산기!$B$56+$A76*B$65*손익분기계산기!$B$57)-입력값!$B$96)/입력값!$B$98,0))*입력값!$B$100)-(MIN(MAX(0,($A76*B$65*손익분기계산기!$B$54-손익분기계산기!$B$58-IF(입력값!$B$99="비례",MAX(0,($A76*손익분기계산기!$B$56+$A76*B$65*손익분기계산기!$B$57)-입력값!$B$96)/입력값!$B$98,ROUNDUP(MAX(0,($A76*손익분기계산기!$B$56+$A76*B$65*손익분기계산기!$B$57)-입력값!$B$96)/입력값!$B$98,0))*입력값!$B$100)*12),입력값!$A$55)*입력값!$B$55+MAX(0,MIN(MAX(0,($A76*B$65*손익분기계산기!$B$54-손익분기계산기!$B$58-IF(입력값!$B$99="비례",MAX(0,($A76*손익분기계산기!$B$56+$A76*B$65*손익분기계산기!$B$57)-입력값!$B$96)/입력값!$B$98,ROUNDUP(MAX(0,($A76*손익분기계산기!$B$56+$A76*B$65*손익분기계산기!$B$57)-입력값!$B$96)/입력값!$B$98,0))*입력값!$B$100)*12),입력값!$A$56)-입력값!$A$55)*입력값!$B$56+MAX(0,MIN(MAX(0,($A76*B$65*손익분기계산기!$B$54-손익분기계산기!$B$58-IF(입력값!$B$99="비례",MAX(0,($A76*손익분기계산기!$B$56+$A76*B$65*손익분기계산기!$B$57)-입력값!$B$96)/입력값!$B$98,ROUNDUP(MAX(0,($A76*손익분기계산기!$B$56+$A76*B$65*손익분기계산기!$B$57)-입력값!$B$96)/입력값!$B$98,0))*입력값!$B$100)*12),입력값!$A$57)-입력값!$A$56)*입력값!$B$57+MAX(0,MAX(0,($A76*B$65*손익분기계산기!$B$54-손익분기계산기!$B$58-IF(입력값!$B$99="비례",MAX(0,($A76*손익분기계산기!$B$56+$A76*B$65*손익분기계산기!$B$57)-입력값!$B$96)/입력값!$B$98,ROUNDUP(MAX(0,($A76*손익분기계산기!$B$56+$A76*B$65*손익분기계산기!$B$57)-입력값!$B$96)/입력값!$B$98,0))*입력값!$B$100)*12)-입력값!$A$57)*입력값!$B$58)*(1+입력값!$B$59)*(1-입력값!$B$60)/12))*입력값!$B$64</f>
        <v/>
      </c>
      <c r="C76" s="20">
        <f>(($A76*C$65*손익분기계산기!$B$54-손익분기계산기!$B$58-IF(입력값!$B$99="비례",MAX(0,($A76*손익분기계산기!$B$56+$A76*C$65*손익분기계산기!$B$57)-입력값!$B$96)/입력값!$B$98,ROUNDUP(MAX(0,($A76*손익분기계산기!$B$56+$A76*C$65*손익분기계산기!$B$57)-입력값!$B$96)/입력값!$B$98,0))*입력값!$B$100)-(MIN(MAX(0,($A76*C$65*손익분기계산기!$B$54-손익분기계산기!$B$58-IF(입력값!$B$99="비례",MAX(0,($A76*손익분기계산기!$B$56+$A76*C$65*손익분기계산기!$B$57)-입력값!$B$96)/입력값!$B$98,ROUNDUP(MAX(0,($A76*손익분기계산기!$B$56+$A76*C$65*손익분기계산기!$B$57)-입력값!$B$96)/입력값!$B$98,0))*입력값!$B$100)*12),입력값!$A$55)*입력값!$B$55+MAX(0,MIN(MAX(0,($A76*C$65*손익분기계산기!$B$54-손익분기계산기!$B$58-IF(입력값!$B$99="비례",MAX(0,($A76*손익분기계산기!$B$56+$A76*C$65*손익분기계산기!$B$57)-입력값!$B$96)/입력값!$B$98,ROUNDUP(MAX(0,($A76*손익분기계산기!$B$56+$A76*C$65*손익분기계산기!$B$57)-입력값!$B$96)/입력값!$B$98,0))*입력값!$B$100)*12),입력값!$A$56)-입력값!$A$55)*입력값!$B$56+MAX(0,MIN(MAX(0,($A76*C$65*손익분기계산기!$B$54-손익분기계산기!$B$58-IF(입력값!$B$99="비례",MAX(0,($A76*손익분기계산기!$B$56+$A76*C$65*손익분기계산기!$B$57)-입력값!$B$96)/입력값!$B$98,ROUNDUP(MAX(0,($A76*손익분기계산기!$B$56+$A76*C$65*손익분기계산기!$B$57)-입력값!$B$96)/입력값!$B$98,0))*입력값!$B$100)*12),입력값!$A$57)-입력값!$A$56)*입력값!$B$57+MAX(0,MAX(0,($A76*C$65*손익분기계산기!$B$54-손익분기계산기!$B$58-IF(입력값!$B$99="비례",MAX(0,($A76*손익분기계산기!$B$56+$A76*C$65*손익분기계산기!$B$57)-입력값!$B$96)/입력값!$B$98,ROUNDUP(MAX(0,($A76*손익분기계산기!$B$56+$A76*C$65*손익분기계산기!$B$57)-입력값!$B$96)/입력값!$B$98,0))*입력값!$B$100)*12)-입력값!$A$57)*입력값!$B$58)*(1+입력값!$B$59)*(1-입력값!$B$60)/12)-MAX(0,(($A76*C$65*손익분기계산기!$B$54-손익분기계산기!$B$58-IF(입력값!$B$99="비례",MAX(0,($A76*손익분기계산기!$B$56+$A76*C$65*손익분기계산기!$B$57)-입력값!$B$96)/입력값!$B$98,ROUNDUP(MAX(0,($A76*손익분기계산기!$B$56+$A76*C$65*손익분기계산기!$B$57)-입력값!$B$96)/입력값!$B$98,0))*입력값!$B$100)-(MIN(MAX(0,($A76*C$65*손익분기계산기!$B$54-손익분기계산기!$B$58-IF(입력값!$B$99="비례",MAX(0,($A76*손익분기계산기!$B$56+$A76*C$65*손익분기계산기!$B$57)-입력값!$B$96)/입력값!$B$98,ROUNDUP(MAX(0,($A76*손익분기계산기!$B$56+$A76*C$65*손익분기계산기!$B$57)-입력값!$B$96)/입력값!$B$98,0))*입력값!$B$100)*12),입력값!$A$55)*입력값!$B$55+MAX(0,MIN(MAX(0,($A76*C$65*손익분기계산기!$B$54-손익분기계산기!$B$58-IF(입력값!$B$99="비례",MAX(0,($A76*손익분기계산기!$B$56+$A76*C$65*손익분기계산기!$B$57)-입력값!$B$96)/입력값!$B$98,ROUNDUP(MAX(0,($A76*손익분기계산기!$B$56+$A76*C$65*손익분기계산기!$B$57)-입력값!$B$96)/입력값!$B$98,0))*입력값!$B$100)*12),입력값!$A$56)-입력값!$A$55)*입력값!$B$56+MAX(0,MIN(MAX(0,($A76*C$65*손익분기계산기!$B$54-손익분기계산기!$B$58-IF(입력값!$B$99="비례",MAX(0,($A76*손익분기계산기!$B$56+$A76*C$65*손익분기계산기!$B$57)-입력값!$B$96)/입력값!$B$98,ROUNDUP(MAX(0,($A76*손익분기계산기!$B$56+$A76*C$65*손익분기계산기!$B$57)-입력값!$B$96)/입력값!$B$98,0))*입력값!$B$100)*12),입력값!$A$57)-입력값!$A$56)*입력값!$B$57+MAX(0,MAX(0,($A76*C$65*손익분기계산기!$B$54-손익분기계산기!$B$58-IF(입력값!$B$99="비례",MAX(0,($A76*손익분기계산기!$B$56+$A76*C$65*손익분기계산기!$B$57)-입력값!$B$96)/입력값!$B$98,ROUNDUP(MAX(0,($A76*손익분기계산기!$B$56+$A76*C$65*손익분기계산기!$B$57)-입력값!$B$96)/입력값!$B$98,0))*입력값!$B$100)*12)-입력값!$A$57)*입력값!$B$58)*(1+입력값!$B$59)*(1-입력값!$B$60)/12))*입력값!$B$64</f>
        <v/>
      </c>
      <c r="D76" s="20">
        <f>(($A76*D$65*손익분기계산기!$B$54-손익분기계산기!$B$58-IF(입력값!$B$99="비례",MAX(0,($A76*손익분기계산기!$B$56+$A76*D$65*손익분기계산기!$B$57)-입력값!$B$96)/입력값!$B$98,ROUNDUP(MAX(0,($A76*손익분기계산기!$B$56+$A76*D$65*손익분기계산기!$B$57)-입력값!$B$96)/입력값!$B$98,0))*입력값!$B$100)-(MIN(MAX(0,($A76*D$65*손익분기계산기!$B$54-손익분기계산기!$B$58-IF(입력값!$B$99="비례",MAX(0,($A76*손익분기계산기!$B$56+$A76*D$65*손익분기계산기!$B$57)-입력값!$B$96)/입력값!$B$98,ROUNDUP(MAX(0,($A76*손익분기계산기!$B$56+$A76*D$65*손익분기계산기!$B$57)-입력값!$B$96)/입력값!$B$98,0))*입력값!$B$100)*12),입력값!$A$55)*입력값!$B$55+MAX(0,MIN(MAX(0,($A76*D$65*손익분기계산기!$B$54-손익분기계산기!$B$58-IF(입력값!$B$99="비례",MAX(0,($A76*손익분기계산기!$B$56+$A76*D$65*손익분기계산기!$B$57)-입력값!$B$96)/입력값!$B$98,ROUNDUP(MAX(0,($A76*손익분기계산기!$B$56+$A76*D$65*손익분기계산기!$B$57)-입력값!$B$96)/입력값!$B$98,0))*입력값!$B$100)*12),입력값!$A$56)-입력값!$A$55)*입력값!$B$56+MAX(0,MIN(MAX(0,($A76*D$65*손익분기계산기!$B$54-손익분기계산기!$B$58-IF(입력값!$B$99="비례",MAX(0,($A76*손익분기계산기!$B$56+$A76*D$65*손익분기계산기!$B$57)-입력값!$B$96)/입력값!$B$98,ROUNDUP(MAX(0,($A76*손익분기계산기!$B$56+$A76*D$65*손익분기계산기!$B$57)-입력값!$B$96)/입력값!$B$98,0))*입력값!$B$100)*12),입력값!$A$57)-입력값!$A$56)*입력값!$B$57+MAX(0,MAX(0,($A76*D$65*손익분기계산기!$B$54-손익분기계산기!$B$58-IF(입력값!$B$99="비례",MAX(0,($A76*손익분기계산기!$B$56+$A76*D$65*손익분기계산기!$B$57)-입력값!$B$96)/입력값!$B$98,ROUNDUP(MAX(0,($A76*손익분기계산기!$B$56+$A76*D$65*손익분기계산기!$B$57)-입력값!$B$96)/입력값!$B$98,0))*입력값!$B$100)*12)-입력값!$A$57)*입력값!$B$58)*(1+입력값!$B$59)*(1-입력값!$B$60)/12)-MAX(0,(($A76*D$65*손익분기계산기!$B$54-손익분기계산기!$B$58-IF(입력값!$B$99="비례",MAX(0,($A76*손익분기계산기!$B$56+$A76*D$65*손익분기계산기!$B$57)-입력값!$B$96)/입력값!$B$98,ROUNDUP(MAX(0,($A76*손익분기계산기!$B$56+$A76*D$65*손익분기계산기!$B$57)-입력값!$B$96)/입력값!$B$98,0))*입력값!$B$100)-(MIN(MAX(0,($A76*D$65*손익분기계산기!$B$54-손익분기계산기!$B$58-IF(입력값!$B$99="비례",MAX(0,($A76*손익분기계산기!$B$56+$A76*D$65*손익분기계산기!$B$57)-입력값!$B$96)/입력값!$B$98,ROUNDUP(MAX(0,($A76*손익분기계산기!$B$56+$A76*D$65*손익분기계산기!$B$57)-입력값!$B$96)/입력값!$B$98,0))*입력값!$B$100)*12),입력값!$A$55)*입력값!$B$55+MAX(0,MIN(MAX(0,($A76*D$65*손익분기계산기!$B$54-손익분기계산기!$B$58-IF(입력값!$B$99="비례",MAX(0,($A76*손익분기계산기!$B$56+$A76*D$65*손익분기계산기!$B$57)-입력값!$B$96)/입력값!$B$98,ROUNDUP(MAX(0,($A76*손익분기계산기!$B$56+$A76*D$65*손익분기계산기!$B$57)-입력값!$B$96)/입력값!$B$98,0))*입력값!$B$100)*12),입력값!$A$56)-입력값!$A$55)*입력값!$B$56+MAX(0,MIN(MAX(0,($A76*D$65*손익분기계산기!$B$54-손익분기계산기!$B$58-IF(입력값!$B$99="비례",MAX(0,($A76*손익분기계산기!$B$56+$A76*D$65*손익분기계산기!$B$57)-입력값!$B$96)/입력값!$B$98,ROUNDUP(MAX(0,($A76*손익분기계산기!$B$56+$A76*D$65*손익분기계산기!$B$57)-입력값!$B$96)/입력값!$B$98,0))*입력값!$B$100)*12),입력값!$A$57)-입력값!$A$56)*입력값!$B$57+MAX(0,MAX(0,($A76*D$65*손익분기계산기!$B$54-손익분기계산기!$B$58-IF(입력값!$B$99="비례",MAX(0,($A76*손익분기계산기!$B$56+$A76*D$65*손익분기계산기!$B$57)-입력값!$B$96)/입력값!$B$98,ROUNDUP(MAX(0,($A76*손익분기계산기!$B$56+$A76*D$65*손익분기계산기!$B$57)-입력값!$B$96)/입력값!$B$98,0))*입력값!$B$100)*12)-입력값!$A$57)*입력값!$B$58)*(1+입력값!$B$59)*(1-입력값!$B$60)/12))*입력값!$B$64</f>
        <v/>
      </c>
      <c r="E76" s="20">
        <f>(($A76*E$65*손익분기계산기!$B$54-손익분기계산기!$B$58-IF(입력값!$B$99="비례",MAX(0,($A76*손익분기계산기!$B$56+$A76*E$65*손익분기계산기!$B$57)-입력값!$B$96)/입력값!$B$98,ROUNDUP(MAX(0,($A76*손익분기계산기!$B$56+$A76*E$65*손익분기계산기!$B$57)-입력값!$B$96)/입력값!$B$98,0))*입력값!$B$100)-(MIN(MAX(0,($A76*E$65*손익분기계산기!$B$54-손익분기계산기!$B$58-IF(입력값!$B$99="비례",MAX(0,($A76*손익분기계산기!$B$56+$A76*E$65*손익분기계산기!$B$57)-입력값!$B$96)/입력값!$B$98,ROUNDUP(MAX(0,($A76*손익분기계산기!$B$56+$A76*E$65*손익분기계산기!$B$57)-입력값!$B$96)/입력값!$B$98,0))*입력값!$B$100)*12),입력값!$A$55)*입력값!$B$55+MAX(0,MIN(MAX(0,($A76*E$65*손익분기계산기!$B$54-손익분기계산기!$B$58-IF(입력값!$B$99="비례",MAX(0,($A76*손익분기계산기!$B$56+$A76*E$65*손익분기계산기!$B$57)-입력값!$B$96)/입력값!$B$98,ROUNDUP(MAX(0,($A76*손익분기계산기!$B$56+$A76*E$65*손익분기계산기!$B$57)-입력값!$B$96)/입력값!$B$98,0))*입력값!$B$100)*12),입력값!$A$56)-입력값!$A$55)*입력값!$B$56+MAX(0,MIN(MAX(0,($A76*E$65*손익분기계산기!$B$54-손익분기계산기!$B$58-IF(입력값!$B$99="비례",MAX(0,($A76*손익분기계산기!$B$56+$A76*E$65*손익분기계산기!$B$57)-입력값!$B$96)/입력값!$B$98,ROUNDUP(MAX(0,($A76*손익분기계산기!$B$56+$A76*E$65*손익분기계산기!$B$57)-입력값!$B$96)/입력값!$B$98,0))*입력값!$B$100)*12),입력값!$A$57)-입력값!$A$56)*입력값!$B$57+MAX(0,MAX(0,($A76*E$65*손익분기계산기!$B$54-손익분기계산기!$B$58-IF(입력값!$B$99="비례",MAX(0,($A76*손익분기계산기!$B$56+$A76*E$65*손익분기계산기!$B$57)-입력값!$B$96)/입력값!$B$98,ROUNDUP(MAX(0,($A76*손익분기계산기!$B$56+$A76*E$65*손익분기계산기!$B$57)-입력값!$B$96)/입력값!$B$98,0))*입력값!$B$100)*12)-입력값!$A$57)*입력값!$B$58)*(1+입력값!$B$59)*(1-입력값!$B$60)/12)-MAX(0,(($A76*E$65*손익분기계산기!$B$54-손익분기계산기!$B$58-IF(입력값!$B$99="비례",MAX(0,($A76*손익분기계산기!$B$56+$A76*E$65*손익분기계산기!$B$57)-입력값!$B$96)/입력값!$B$98,ROUNDUP(MAX(0,($A76*손익분기계산기!$B$56+$A76*E$65*손익분기계산기!$B$57)-입력값!$B$96)/입력값!$B$98,0))*입력값!$B$100)-(MIN(MAX(0,($A76*E$65*손익분기계산기!$B$54-손익분기계산기!$B$58-IF(입력값!$B$99="비례",MAX(0,($A76*손익분기계산기!$B$56+$A76*E$65*손익분기계산기!$B$57)-입력값!$B$96)/입력값!$B$98,ROUNDUP(MAX(0,($A76*손익분기계산기!$B$56+$A76*E$65*손익분기계산기!$B$57)-입력값!$B$96)/입력값!$B$98,0))*입력값!$B$100)*12),입력값!$A$55)*입력값!$B$55+MAX(0,MIN(MAX(0,($A76*E$65*손익분기계산기!$B$54-손익분기계산기!$B$58-IF(입력값!$B$99="비례",MAX(0,($A76*손익분기계산기!$B$56+$A76*E$65*손익분기계산기!$B$57)-입력값!$B$96)/입력값!$B$98,ROUNDUP(MAX(0,($A76*손익분기계산기!$B$56+$A76*E$65*손익분기계산기!$B$57)-입력값!$B$96)/입력값!$B$98,0))*입력값!$B$100)*12),입력값!$A$56)-입력값!$A$55)*입력값!$B$56+MAX(0,MIN(MAX(0,($A76*E$65*손익분기계산기!$B$54-손익분기계산기!$B$58-IF(입력값!$B$99="비례",MAX(0,($A76*손익분기계산기!$B$56+$A76*E$65*손익분기계산기!$B$57)-입력값!$B$96)/입력값!$B$98,ROUNDUP(MAX(0,($A76*손익분기계산기!$B$56+$A76*E$65*손익분기계산기!$B$57)-입력값!$B$96)/입력값!$B$98,0))*입력값!$B$100)*12),입력값!$A$57)-입력값!$A$56)*입력값!$B$57+MAX(0,MAX(0,($A76*E$65*손익분기계산기!$B$54-손익분기계산기!$B$58-IF(입력값!$B$99="비례",MAX(0,($A76*손익분기계산기!$B$56+$A76*E$65*손익분기계산기!$B$57)-입력값!$B$96)/입력값!$B$98,ROUNDUP(MAX(0,($A76*손익분기계산기!$B$56+$A76*E$65*손익분기계산기!$B$57)-입력값!$B$96)/입력값!$B$98,0))*입력값!$B$100)*12)-입력값!$A$57)*입력값!$B$58)*(1+입력값!$B$59)*(1-입력값!$B$60)/12))*입력값!$B$64</f>
        <v/>
      </c>
      <c r="F76" s="20">
        <f>(($A76*F$65*손익분기계산기!$B$54-손익분기계산기!$B$58-IF(입력값!$B$99="비례",MAX(0,($A76*손익분기계산기!$B$56+$A76*F$65*손익분기계산기!$B$57)-입력값!$B$96)/입력값!$B$98,ROUNDUP(MAX(0,($A76*손익분기계산기!$B$56+$A76*F$65*손익분기계산기!$B$57)-입력값!$B$96)/입력값!$B$98,0))*입력값!$B$100)-(MIN(MAX(0,($A76*F$65*손익분기계산기!$B$54-손익분기계산기!$B$58-IF(입력값!$B$99="비례",MAX(0,($A76*손익분기계산기!$B$56+$A76*F$65*손익분기계산기!$B$57)-입력값!$B$96)/입력값!$B$98,ROUNDUP(MAX(0,($A76*손익분기계산기!$B$56+$A76*F$65*손익분기계산기!$B$57)-입력값!$B$96)/입력값!$B$98,0))*입력값!$B$100)*12),입력값!$A$55)*입력값!$B$55+MAX(0,MIN(MAX(0,($A76*F$65*손익분기계산기!$B$54-손익분기계산기!$B$58-IF(입력값!$B$99="비례",MAX(0,($A76*손익분기계산기!$B$56+$A76*F$65*손익분기계산기!$B$57)-입력값!$B$96)/입력값!$B$98,ROUNDUP(MAX(0,($A76*손익분기계산기!$B$56+$A76*F$65*손익분기계산기!$B$57)-입력값!$B$96)/입력값!$B$98,0))*입력값!$B$100)*12),입력값!$A$56)-입력값!$A$55)*입력값!$B$56+MAX(0,MIN(MAX(0,($A76*F$65*손익분기계산기!$B$54-손익분기계산기!$B$58-IF(입력값!$B$99="비례",MAX(0,($A76*손익분기계산기!$B$56+$A76*F$65*손익분기계산기!$B$57)-입력값!$B$96)/입력값!$B$98,ROUNDUP(MAX(0,($A76*손익분기계산기!$B$56+$A76*F$65*손익분기계산기!$B$57)-입력값!$B$96)/입력값!$B$98,0))*입력값!$B$100)*12),입력값!$A$57)-입력값!$A$56)*입력값!$B$57+MAX(0,MAX(0,($A76*F$65*손익분기계산기!$B$54-손익분기계산기!$B$58-IF(입력값!$B$99="비례",MAX(0,($A76*손익분기계산기!$B$56+$A76*F$65*손익분기계산기!$B$57)-입력값!$B$96)/입력값!$B$98,ROUNDUP(MAX(0,($A76*손익분기계산기!$B$56+$A76*F$65*손익분기계산기!$B$57)-입력값!$B$96)/입력값!$B$98,0))*입력값!$B$100)*12)-입력값!$A$57)*입력값!$B$58)*(1+입력값!$B$59)*(1-입력값!$B$60)/12)-MAX(0,(($A76*F$65*손익분기계산기!$B$54-손익분기계산기!$B$58-IF(입력값!$B$99="비례",MAX(0,($A76*손익분기계산기!$B$56+$A76*F$65*손익분기계산기!$B$57)-입력값!$B$96)/입력값!$B$98,ROUNDUP(MAX(0,($A76*손익분기계산기!$B$56+$A76*F$65*손익분기계산기!$B$57)-입력값!$B$96)/입력값!$B$98,0))*입력값!$B$100)-(MIN(MAX(0,($A76*F$65*손익분기계산기!$B$54-손익분기계산기!$B$58-IF(입력값!$B$99="비례",MAX(0,($A76*손익분기계산기!$B$56+$A76*F$65*손익분기계산기!$B$57)-입력값!$B$96)/입력값!$B$98,ROUNDUP(MAX(0,($A76*손익분기계산기!$B$56+$A76*F$65*손익분기계산기!$B$57)-입력값!$B$96)/입력값!$B$98,0))*입력값!$B$100)*12),입력값!$A$55)*입력값!$B$55+MAX(0,MIN(MAX(0,($A76*F$65*손익분기계산기!$B$54-손익분기계산기!$B$58-IF(입력값!$B$99="비례",MAX(0,($A76*손익분기계산기!$B$56+$A76*F$65*손익분기계산기!$B$57)-입력값!$B$96)/입력값!$B$98,ROUNDUP(MAX(0,($A76*손익분기계산기!$B$56+$A76*F$65*손익분기계산기!$B$57)-입력값!$B$96)/입력값!$B$98,0))*입력값!$B$100)*12),입력값!$A$56)-입력값!$A$55)*입력값!$B$56+MAX(0,MIN(MAX(0,($A76*F$65*손익분기계산기!$B$54-손익분기계산기!$B$58-IF(입력값!$B$99="비례",MAX(0,($A76*손익분기계산기!$B$56+$A76*F$65*손익분기계산기!$B$57)-입력값!$B$96)/입력값!$B$98,ROUNDUP(MAX(0,($A76*손익분기계산기!$B$56+$A76*F$65*손익분기계산기!$B$57)-입력값!$B$96)/입력값!$B$98,0))*입력값!$B$100)*12),입력값!$A$57)-입력값!$A$56)*입력값!$B$57+MAX(0,MAX(0,($A76*F$65*손익분기계산기!$B$54-손익분기계산기!$B$58-IF(입력값!$B$99="비례",MAX(0,($A76*손익분기계산기!$B$56+$A76*F$65*손익분기계산기!$B$57)-입력값!$B$96)/입력값!$B$98,ROUNDUP(MAX(0,($A76*손익분기계산기!$B$56+$A76*F$65*손익분기계산기!$B$57)-입력값!$B$96)/입력값!$B$98,0))*입력값!$B$100)*12)-입력값!$A$57)*입력값!$B$58)*(1+입력값!$B$59)*(1-입력값!$B$60)/12))*입력값!$B$64</f>
        <v/>
      </c>
      <c r="G76" s="20">
        <f>(($A76*G$65*손익분기계산기!$B$54-손익분기계산기!$B$58-IF(입력값!$B$99="비례",MAX(0,($A76*손익분기계산기!$B$56+$A76*G$65*손익분기계산기!$B$57)-입력값!$B$96)/입력값!$B$98,ROUNDUP(MAX(0,($A76*손익분기계산기!$B$56+$A76*G$65*손익분기계산기!$B$57)-입력값!$B$96)/입력값!$B$98,0))*입력값!$B$100)-(MIN(MAX(0,($A76*G$65*손익분기계산기!$B$54-손익분기계산기!$B$58-IF(입력값!$B$99="비례",MAX(0,($A76*손익분기계산기!$B$56+$A76*G$65*손익분기계산기!$B$57)-입력값!$B$96)/입력값!$B$98,ROUNDUP(MAX(0,($A76*손익분기계산기!$B$56+$A76*G$65*손익분기계산기!$B$57)-입력값!$B$96)/입력값!$B$98,0))*입력값!$B$100)*12),입력값!$A$55)*입력값!$B$55+MAX(0,MIN(MAX(0,($A76*G$65*손익분기계산기!$B$54-손익분기계산기!$B$58-IF(입력값!$B$99="비례",MAX(0,($A76*손익분기계산기!$B$56+$A76*G$65*손익분기계산기!$B$57)-입력값!$B$96)/입력값!$B$98,ROUNDUP(MAX(0,($A76*손익분기계산기!$B$56+$A76*G$65*손익분기계산기!$B$57)-입력값!$B$96)/입력값!$B$98,0))*입력값!$B$100)*12),입력값!$A$56)-입력값!$A$55)*입력값!$B$56+MAX(0,MIN(MAX(0,($A76*G$65*손익분기계산기!$B$54-손익분기계산기!$B$58-IF(입력값!$B$99="비례",MAX(0,($A76*손익분기계산기!$B$56+$A76*G$65*손익분기계산기!$B$57)-입력값!$B$96)/입력값!$B$98,ROUNDUP(MAX(0,($A76*손익분기계산기!$B$56+$A76*G$65*손익분기계산기!$B$57)-입력값!$B$96)/입력값!$B$98,0))*입력값!$B$100)*12),입력값!$A$57)-입력값!$A$56)*입력값!$B$57+MAX(0,MAX(0,($A76*G$65*손익분기계산기!$B$54-손익분기계산기!$B$58-IF(입력값!$B$99="비례",MAX(0,($A76*손익분기계산기!$B$56+$A76*G$65*손익분기계산기!$B$57)-입력값!$B$96)/입력값!$B$98,ROUNDUP(MAX(0,($A76*손익분기계산기!$B$56+$A76*G$65*손익분기계산기!$B$57)-입력값!$B$96)/입력값!$B$98,0))*입력값!$B$100)*12)-입력값!$A$57)*입력값!$B$58)*(1+입력값!$B$59)*(1-입력값!$B$60)/12)-MAX(0,(($A76*G$65*손익분기계산기!$B$54-손익분기계산기!$B$58-IF(입력값!$B$99="비례",MAX(0,($A76*손익분기계산기!$B$56+$A76*G$65*손익분기계산기!$B$57)-입력값!$B$96)/입력값!$B$98,ROUNDUP(MAX(0,($A76*손익분기계산기!$B$56+$A76*G$65*손익분기계산기!$B$57)-입력값!$B$96)/입력값!$B$98,0))*입력값!$B$100)-(MIN(MAX(0,($A76*G$65*손익분기계산기!$B$54-손익분기계산기!$B$58-IF(입력값!$B$99="비례",MAX(0,($A76*손익분기계산기!$B$56+$A76*G$65*손익분기계산기!$B$57)-입력값!$B$96)/입력값!$B$98,ROUNDUP(MAX(0,($A76*손익분기계산기!$B$56+$A76*G$65*손익분기계산기!$B$57)-입력값!$B$96)/입력값!$B$98,0))*입력값!$B$100)*12),입력값!$A$55)*입력값!$B$55+MAX(0,MIN(MAX(0,($A76*G$65*손익분기계산기!$B$54-손익분기계산기!$B$58-IF(입력값!$B$99="비례",MAX(0,($A76*손익분기계산기!$B$56+$A76*G$65*손익분기계산기!$B$57)-입력값!$B$96)/입력값!$B$98,ROUNDUP(MAX(0,($A76*손익분기계산기!$B$56+$A76*G$65*손익분기계산기!$B$57)-입력값!$B$96)/입력값!$B$98,0))*입력값!$B$100)*12),입력값!$A$56)-입력값!$A$55)*입력값!$B$56+MAX(0,MIN(MAX(0,($A76*G$65*손익분기계산기!$B$54-손익분기계산기!$B$58-IF(입력값!$B$99="비례",MAX(0,($A76*손익분기계산기!$B$56+$A76*G$65*손익분기계산기!$B$57)-입력값!$B$96)/입력값!$B$98,ROUNDUP(MAX(0,($A76*손익분기계산기!$B$56+$A76*G$65*손익분기계산기!$B$57)-입력값!$B$96)/입력값!$B$98,0))*입력값!$B$100)*12),입력값!$A$57)-입력값!$A$56)*입력값!$B$57+MAX(0,MAX(0,($A76*G$65*손익분기계산기!$B$54-손익분기계산기!$B$58-IF(입력값!$B$99="비례",MAX(0,($A76*손익분기계산기!$B$56+$A76*G$65*손익분기계산기!$B$57)-입력값!$B$96)/입력값!$B$98,ROUNDUP(MAX(0,($A76*손익분기계산기!$B$56+$A76*G$65*손익분기계산기!$B$57)-입력값!$B$96)/입력값!$B$98,0))*입력값!$B$100)*12)-입력값!$A$57)*입력값!$B$58)*(1+입력값!$B$59)*(1-입력값!$B$60)/12))*입력값!$B$64</f>
        <v/>
      </c>
      <c r="H76" s="20">
        <f>(($A76*H$65*손익분기계산기!$B$54-손익분기계산기!$B$58-IF(입력값!$B$99="비례",MAX(0,($A76*손익분기계산기!$B$56+$A76*H$65*손익분기계산기!$B$57)-입력값!$B$96)/입력값!$B$98,ROUNDUP(MAX(0,($A76*손익분기계산기!$B$56+$A76*H$65*손익분기계산기!$B$57)-입력값!$B$96)/입력값!$B$98,0))*입력값!$B$100)-(MIN(MAX(0,($A76*H$65*손익분기계산기!$B$54-손익분기계산기!$B$58-IF(입력값!$B$99="비례",MAX(0,($A76*손익분기계산기!$B$56+$A76*H$65*손익분기계산기!$B$57)-입력값!$B$96)/입력값!$B$98,ROUNDUP(MAX(0,($A76*손익분기계산기!$B$56+$A76*H$65*손익분기계산기!$B$57)-입력값!$B$96)/입력값!$B$98,0))*입력값!$B$100)*12),입력값!$A$55)*입력값!$B$55+MAX(0,MIN(MAX(0,($A76*H$65*손익분기계산기!$B$54-손익분기계산기!$B$58-IF(입력값!$B$99="비례",MAX(0,($A76*손익분기계산기!$B$56+$A76*H$65*손익분기계산기!$B$57)-입력값!$B$96)/입력값!$B$98,ROUNDUP(MAX(0,($A76*손익분기계산기!$B$56+$A76*H$65*손익분기계산기!$B$57)-입력값!$B$96)/입력값!$B$98,0))*입력값!$B$100)*12),입력값!$A$56)-입력값!$A$55)*입력값!$B$56+MAX(0,MIN(MAX(0,($A76*H$65*손익분기계산기!$B$54-손익분기계산기!$B$58-IF(입력값!$B$99="비례",MAX(0,($A76*손익분기계산기!$B$56+$A76*H$65*손익분기계산기!$B$57)-입력값!$B$96)/입력값!$B$98,ROUNDUP(MAX(0,($A76*손익분기계산기!$B$56+$A76*H$65*손익분기계산기!$B$57)-입력값!$B$96)/입력값!$B$98,0))*입력값!$B$100)*12),입력값!$A$57)-입력값!$A$56)*입력값!$B$57+MAX(0,MAX(0,($A76*H$65*손익분기계산기!$B$54-손익분기계산기!$B$58-IF(입력값!$B$99="비례",MAX(0,($A76*손익분기계산기!$B$56+$A76*H$65*손익분기계산기!$B$57)-입력값!$B$96)/입력값!$B$98,ROUNDUP(MAX(0,($A76*손익분기계산기!$B$56+$A76*H$65*손익분기계산기!$B$57)-입력값!$B$96)/입력값!$B$98,0))*입력값!$B$100)*12)-입력값!$A$57)*입력값!$B$58)*(1+입력값!$B$59)*(1-입력값!$B$60)/12)-MAX(0,(($A76*H$65*손익분기계산기!$B$54-손익분기계산기!$B$58-IF(입력값!$B$99="비례",MAX(0,($A76*손익분기계산기!$B$56+$A76*H$65*손익분기계산기!$B$57)-입력값!$B$96)/입력값!$B$98,ROUNDUP(MAX(0,($A76*손익분기계산기!$B$56+$A76*H$65*손익분기계산기!$B$57)-입력값!$B$96)/입력값!$B$98,0))*입력값!$B$100)-(MIN(MAX(0,($A76*H$65*손익분기계산기!$B$54-손익분기계산기!$B$58-IF(입력값!$B$99="비례",MAX(0,($A76*손익분기계산기!$B$56+$A76*H$65*손익분기계산기!$B$57)-입력값!$B$96)/입력값!$B$98,ROUNDUP(MAX(0,($A76*손익분기계산기!$B$56+$A76*H$65*손익분기계산기!$B$57)-입력값!$B$96)/입력값!$B$98,0))*입력값!$B$100)*12),입력값!$A$55)*입력값!$B$55+MAX(0,MIN(MAX(0,($A76*H$65*손익분기계산기!$B$54-손익분기계산기!$B$58-IF(입력값!$B$99="비례",MAX(0,($A76*손익분기계산기!$B$56+$A76*H$65*손익분기계산기!$B$57)-입력값!$B$96)/입력값!$B$98,ROUNDUP(MAX(0,($A76*손익분기계산기!$B$56+$A76*H$65*손익분기계산기!$B$57)-입력값!$B$96)/입력값!$B$98,0))*입력값!$B$100)*12),입력값!$A$56)-입력값!$A$55)*입력값!$B$56+MAX(0,MIN(MAX(0,($A76*H$65*손익분기계산기!$B$54-손익분기계산기!$B$58-IF(입력값!$B$99="비례",MAX(0,($A76*손익분기계산기!$B$56+$A76*H$65*손익분기계산기!$B$57)-입력값!$B$96)/입력값!$B$98,ROUNDUP(MAX(0,($A76*손익분기계산기!$B$56+$A76*H$65*손익분기계산기!$B$57)-입력값!$B$96)/입력값!$B$98,0))*입력값!$B$100)*12),입력값!$A$57)-입력값!$A$56)*입력값!$B$57+MAX(0,MAX(0,($A76*H$65*손익분기계산기!$B$54-손익분기계산기!$B$58-IF(입력값!$B$99="비례",MAX(0,($A76*손익분기계산기!$B$56+$A76*H$65*손익분기계산기!$B$57)-입력값!$B$96)/입력값!$B$98,ROUNDUP(MAX(0,($A76*손익분기계산기!$B$56+$A76*H$65*손익분기계산기!$B$57)-입력값!$B$96)/입력값!$B$98,0))*입력값!$B$100)*12)-입력값!$A$57)*입력값!$B$58)*(1+입력값!$B$59)*(1-입력값!$B$60)/12))*입력값!$B$64</f>
        <v/>
      </c>
      <c r="I76" s="20">
        <f>(($A76*I$65*손익분기계산기!$B$54-손익분기계산기!$B$58-IF(입력값!$B$99="비례",MAX(0,($A76*손익분기계산기!$B$56+$A76*I$65*손익분기계산기!$B$57)-입력값!$B$96)/입력값!$B$98,ROUNDUP(MAX(0,($A76*손익분기계산기!$B$56+$A76*I$65*손익분기계산기!$B$57)-입력값!$B$96)/입력값!$B$98,0))*입력값!$B$100)-(MIN(MAX(0,($A76*I$65*손익분기계산기!$B$54-손익분기계산기!$B$58-IF(입력값!$B$99="비례",MAX(0,($A76*손익분기계산기!$B$56+$A76*I$65*손익분기계산기!$B$57)-입력값!$B$96)/입력값!$B$98,ROUNDUP(MAX(0,($A76*손익분기계산기!$B$56+$A76*I$65*손익분기계산기!$B$57)-입력값!$B$96)/입력값!$B$98,0))*입력값!$B$100)*12),입력값!$A$55)*입력값!$B$55+MAX(0,MIN(MAX(0,($A76*I$65*손익분기계산기!$B$54-손익분기계산기!$B$58-IF(입력값!$B$99="비례",MAX(0,($A76*손익분기계산기!$B$56+$A76*I$65*손익분기계산기!$B$57)-입력값!$B$96)/입력값!$B$98,ROUNDUP(MAX(0,($A76*손익분기계산기!$B$56+$A76*I$65*손익분기계산기!$B$57)-입력값!$B$96)/입력값!$B$98,0))*입력값!$B$100)*12),입력값!$A$56)-입력값!$A$55)*입력값!$B$56+MAX(0,MIN(MAX(0,($A76*I$65*손익분기계산기!$B$54-손익분기계산기!$B$58-IF(입력값!$B$99="비례",MAX(0,($A76*손익분기계산기!$B$56+$A76*I$65*손익분기계산기!$B$57)-입력값!$B$96)/입력값!$B$98,ROUNDUP(MAX(0,($A76*손익분기계산기!$B$56+$A76*I$65*손익분기계산기!$B$57)-입력값!$B$96)/입력값!$B$98,0))*입력값!$B$100)*12),입력값!$A$57)-입력값!$A$56)*입력값!$B$57+MAX(0,MAX(0,($A76*I$65*손익분기계산기!$B$54-손익분기계산기!$B$58-IF(입력값!$B$99="비례",MAX(0,($A76*손익분기계산기!$B$56+$A76*I$65*손익분기계산기!$B$57)-입력값!$B$96)/입력값!$B$98,ROUNDUP(MAX(0,($A76*손익분기계산기!$B$56+$A76*I$65*손익분기계산기!$B$57)-입력값!$B$96)/입력값!$B$98,0))*입력값!$B$100)*12)-입력값!$A$57)*입력값!$B$58)*(1+입력값!$B$59)*(1-입력값!$B$60)/12)-MAX(0,(($A76*I$65*손익분기계산기!$B$54-손익분기계산기!$B$58-IF(입력값!$B$99="비례",MAX(0,($A76*손익분기계산기!$B$56+$A76*I$65*손익분기계산기!$B$57)-입력값!$B$96)/입력값!$B$98,ROUNDUP(MAX(0,($A76*손익분기계산기!$B$56+$A76*I$65*손익분기계산기!$B$57)-입력값!$B$96)/입력값!$B$98,0))*입력값!$B$100)-(MIN(MAX(0,($A76*I$65*손익분기계산기!$B$54-손익분기계산기!$B$58-IF(입력값!$B$99="비례",MAX(0,($A76*손익분기계산기!$B$56+$A76*I$65*손익분기계산기!$B$57)-입력값!$B$96)/입력값!$B$98,ROUNDUP(MAX(0,($A76*손익분기계산기!$B$56+$A76*I$65*손익분기계산기!$B$57)-입력값!$B$96)/입력값!$B$98,0))*입력값!$B$100)*12),입력값!$A$55)*입력값!$B$55+MAX(0,MIN(MAX(0,($A76*I$65*손익분기계산기!$B$54-손익분기계산기!$B$58-IF(입력값!$B$99="비례",MAX(0,($A76*손익분기계산기!$B$56+$A76*I$65*손익분기계산기!$B$57)-입력값!$B$96)/입력값!$B$98,ROUNDUP(MAX(0,($A76*손익분기계산기!$B$56+$A76*I$65*손익분기계산기!$B$57)-입력값!$B$96)/입력값!$B$98,0))*입력값!$B$100)*12),입력값!$A$56)-입력값!$A$55)*입력값!$B$56+MAX(0,MIN(MAX(0,($A76*I$65*손익분기계산기!$B$54-손익분기계산기!$B$58-IF(입력값!$B$99="비례",MAX(0,($A76*손익분기계산기!$B$56+$A76*I$65*손익분기계산기!$B$57)-입력값!$B$96)/입력값!$B$98,ROUNDUP(MAX(0,($A76*손익분기계산기!$B$56+$A76*I$65*손익분기계산기!$B$57)-입력값!$B$96)/입력값!$B$98,0))*입력값!$B$100)*12),입력값!$A$57)-입력값!$A$56)*입력값!$B$57+MAX(0,MAX(0,($A76*I$65*손익분기계산기!$B$54-손익분기계산기!$B$58-IF(입력값!$B$99="비례",MAX(0,($A76*손익분기계산기!$B$56+$A76*I$65*손익분기계산기!$B$57)-입력값!$B$96)/입력값!$B$98,ROUNDUP(MAX(0,($A76*손익분기계산기!$B$56+$A76*I$65*손익분기계산기!$B$57)-입력값!$B$96)/입력값!$B$98,0))*입력값!$B$100)*12)-입력값!$A$57)*입력값!$B$58)*(1+입력값!$B$59)*(1-입력값!$B$60)/12))*입력값!$B$64</f>
        <v/>
      </c>
    </row>
    <row r="77">
      <c r="A77" s="24" t="n">
        <v>200</v>
      </c>
      <c r="B77" s="20">
        <f>(($A77*B$65*손익분기계산기!$B$54-손익분기계산기!$B$58-IF(입력값!$B$99="비례",MAX(0,($A77*손익분기계산기!$B$56+$A77*B$65*손익분기계산기!$B$57)-입력값!$B$96)/입력값!$B$98,ROUNDUP(MAX(0,($A77*손익분기계산기!$B$56+$A77*B$65*손익분기계산기!$B$57)-입력값!$B$96)/입력값!$B$98,0))*입력값!$B$100)-(MIN(MAX(0,($A77*B$65*손익분기계산기!$B$54-손익분기계산기!$B$58-IF(입력값!$B$99="비례",MAX(0,($A77*손익분기계산기!$B$56+$A77*B$65*손익분기계산기!$B$57)-입력값!$B$96)/입력값!$B$98,ROUNDUP(MAX(0,($A77*손익분기계산기!$B$56+$A77*B$65*손익분기계산기!$B$57)-입력값!$B$96)/입력값!$B$98,0))*입력값!$B$100)*12),입력값!$A$55)*입력값!$B$55+MAX(0,MIN(MAX(0,($A77*B$65*손익분기계산기!$B$54-손익분기계산기!$B$58-IF(입력값!$B$99="비례",MAX(0,($A77*손익분기계산기!$B$56+$A77*B$65*손익분기계산기!$B$57)-입력값!$B$96)/입력값!$B$98,ROUNDUP(MAX(0,($A77*손익분기계산기!$B$56+$A77*B$65*손익분기계산기!$B$57)-입력값!$B$96)/입력값!$B$98,0))*입력값!$B$100)*12),입력값!$A$56)-입력값!$A$55)*입력값!$B$56+MAX(0,MIN(MAX(0,($A77*B$65*손익분기계산기!$B$54-손익분기계산기!$B$58-IF(입력값!$B$99="비례",MAX(0,($A77*손익분기계산기!$B$56+$A77*B$65*손익분기계산기!$B$57)-입력값!$B$96)/입력값!$B$98,ROUNDUP(MAX(0,($A77*손익분기계산기!$B$56+$A77*B$65*손익분기계산기!$B$57)-입력값!$B$96)/입력값!$B$98,0))*입력값!$B$100)*12),입력값!$A$57)-입력값!$A$56)*입력값!$B$57+MAX(0,MAX(0,($A77*B$65*손익분기계산기!$B$54-손익분기계산기!$B$58-IF(입력값!$B$99="비례",MAX(0,($A77*손익분기계산기!$B$56+$A77*B$65*손익분기계산기!$B$57)-입력값!$B$96)/입력값!$B$98,ROUNDUP(MAX(0,($A77*손익분기계산기!$B$56+$A77*B$65*손익분기계산기!$B$57)-입력값!$B$96)/입력값!$B$98,0))*입력값!$B$100)*12)-입력값!$A$57)*입력값!$B$58)*(1+입력값!$B$59)*(1-입력값!$B$60)/12)-MAX(0,(($A77*B$65*손익분기계산기!$B$54-손익분기계산기!$B$58-IF(입력값!$B$99="비례",MAX(0,($A77*손익분기계산기!$B$56+$A77*B$65*손익분기계산기!$B$57)-입력값!$B$96)/입력값!$B$98,ROUNDUP(MAX(0,($A77*손익분기계산기!$B$56+$A77*B$65*손익분기계산기!$B$57)-입력값!$B$96)/입력값!$B$98,0))*입력값!$B$100)-(MIN(MAX(0,($A77*B$65*손익분기계산기!$B$54-손익분기계산기!$B$58-IF(입력값!$B$99="비례",MAX(0,($A77*손익분기계산기!$B$56+$A77*B$65*손익분기계산기!$B$57)-입력값!$B$96)/입력값!$B$98,ROUNDUP(MAX(0,($A77*손익분기계산기!$B$56+$A77*B$65*손익분기계산기!$B$57)-입력값!$B$96)/입력값!$B$98,0))*입력값!$B$100)*12),입력값!$A$55)*입력값!$B$55+MAX(0,MIN(MAX(0,($A77*B$65*손익분기계산기!$B$54-손익분기계산기!$B$58-IF(입력값!$B$99="비례",MAX(0,($A77*손익분기계산기!$B$56+$A77*B$65*손익분기계산기!$B$57)-입력값!$B$96)/입력값!$B$98,ROUNDUP(MAX(0,($A77*손익분기계산기!$B$56+$A77*B$65*손익분기계산기!$B$57)-입력값!$B$96)/입력값!$B$98,0))*입력값!$B$100)*12),입력값!$A$56)-입력값!$A$55)*입력값!$B$56+MAX(0,MIN(MAX(0,($A77*B$65*손익분기계산기!$B$54-손익분기계산기!$B$58-IF(입력값!$B$99="비례",MAX(0,($A77*손익분기계산기!$B$56+$A77*B$65*손익분기계산기!$B$57)-입력값!$B$96)/입력값!$B$98,ROUNDUP(MAX(0,($A77*손익분기계산기!$B$56+$A77*B$65*손익분기계산기!$B$57)-입력값!$B$96)/입력값!$B$98,0))*입력값!$B$100)*12),입력값!$A$57)-입력값!$A$56)*입력값!$B$57+MAX(0,MAX(0,($A77*B$65*손익분기계산기!$B$54-손익분기계산기!$B$58-IF(입력값!$B$99="비례",MAX(0,($A77*손익분기계산기!$B$56+$A77*B$65*손익분기계산기!$B$57)-입력값!$B$96)/입력값!$B$98,ROUNDUP(MAX(0,($A77*손익분기계산기!$B$56+$A77*B$65*손익분기계산기!$B$57)-입력값!$B$96)/입력값!$B$98,0))*입력값!$B$100)*12)-입력값!$A$57)*입력값!$B$58)*(1+입력값!$B$59)*(1-입력값!$B$60)/12))*입력값!$B$64</f>
        <v/>
      </c>
      <c r="C77" s="20">
        <f>(($A77*C$65*손익분기계산기!$B$54-손익분기계산기!$B$58-IF(입력값!$B$99="비례",MAX(0,($A77*손익분기계산기!$B$56+$A77*C$65*손익분기계산기!$B$57)-입력값!$B$96)/입력값!$B$98,ROUNDUP(MAX(0,($A77*손익분기계산기!$B$56+$A77*C$65*손익분기계산기!$B$57)-입력값!$B$96)/입력값!$B$98,0))*입력값!$B$100)-(MIN(MAX(0,($A77*C$65*손익분기계산기!$B$54-손익분기계산기!$B$58-IF(입력값!$B$99="비례",MAX(0,($A77*손익분기계산기!$B$56+$A77*C$65*손익분기계산기!$B$57)-입력값!$B$96)/입력값!$B$98,ROUNDUP(MAX(0,($A77*손익분기계산기!$B$56+$A77*C$65*손익분기계산기!$B$57)-입력값!$B$96)/입력값!$B$98,0))*입력값!$B$100)*12),입력값!$A$55)*입력값!$B$55+MAX(0,MIN(MAX(0,($A77*C$65*손익분기계산기!$B$54-손익분기계산기!$B$58-IF(입력값!$B$99="비례",MAX(0,($A77*손익분기계산기!$B$56+$A77*C$65*손익분기계산기!$B$57)-입력값!$B$96)/입력값!$B$98,ROUNDUP(MAX(0,($A77*손익분기계산기!$B$56+$A77*C$65*손익분기계산기!$B$57)-입력값!$B$96)/입력값!$B$98,0))*입력값!$B$100)*12),입력값!$A$56)-입력값!$A$55)*입력값!$B$56+MAX(0,MIN(MAX(0,($A77*C$65*손익분기계산기!$B$54-손익분기계산기!$B$58-IF(입력값!$B$99="비례",MAX(0,($A77*손익분기계산기!$B$56+$A77*C$65*손익분기계산기!$B$57)-입력값!$B$96)/입력값!$B$98,ROUNDUP(MAX(0,($A77*손익분기계산기!$B$56+$A77*C$65*손익분기계산기!$B$57)-입력값!$B$96)/입력값!$B$98,0))*입력값!$B$100)*12),입력값!$A$57)-입력값!$A$56)*입력값!$B$57+MAX(0,MAX(0,($A77*C$65*손익분기계산기!$B$54-손익분기계산기!$B$58-IF(입력값!$B$99="비례",MAX(0,($A77*손익분기계산기!$B$56+$A77*C$65*손익분기계산기!$B$57)-입력값!$B$96)/입력값!$B$98,ROUNDUP(MAX(0,($A77*손익분기계산기!$B$56+$A77*C$65*손익분기계산기!$B$57)-입력값!$B$96)/입력값!$B$98,0))*입력값!$B$100)*12)-입력값!$A$57)*입력값!$B$58)*(1+입력값!$B$59)*(1-입력값!$B$60)/12)-MAX(0,(($A77*C$65*손익분기계산기!$B$54-손익분기계산기!$B$58-IF(입력값!$B$99="비례",MAX(0,($A77*손익분기계산기!$B$56+$A77*C$65*손익분기계산기!$B$57)-입력값!$B$96)/입력값!$B$98,ROUNDUP(MAX(0,($A77*손익분기계산기!$B$56+$A77*C$65*손익분기계산기!$B$57)-입력값!$B$96)/입력값!$B$98,0))*입력값!$B$100)-(MIN(MAX(0,($A77*C$65*손익분기계산기!$B$54-손익분기계산기!$B$58-IF(입력값!$B$99="비례",MAX(0,($A77*손익분기계산기!$B$56+$A77*C$65*손익분기계산기!$B$57)-입력값!$B$96)/입력값!$B$98,ROUNDUP(MAX(0,($A77*손익분기계산기!$B$56+$A77*C$65*손익분기계산기!$B$57)-입력값!$B$96)/입력값!$B$98,0))*입력값!$B$100)*12),입력값!$A$55)*입력값!$B$55+MAX(0,MIN(MAX(0,($A77*C$65*손익분기계산기!$B$54-손익분기계산기!$B$58-IF(입력값!$B$99="비례",MAX(0,($A77*손익분기계산기!$B$56+$A77*C$65*손익분기계산기!$B$57)-입력값!$B$96)/입력값!$B$98,ROUNDUP(MAX(0,($A77*손익분기계산기!$B$56+$A77*C$65*손익분기계산기!$B$57)-입력값!$B$96)/입력값!$B$98,0))*입력값!$B$100)*12),입력값!$A$56)-입력값!$A$55)*입력값!$B$56+MAX(0,MIN(MAX(0,($A77*C$65*손익분기계산기!$B$54-손익분기계산기!$B$58-IF(입력값!$B$99="비례",MAX(0,($A77*손익분기계산기!$B$56+$A77*C$65*손익분기계산기!$B$57)-입력값!$B$96)/입력값!$B$98,ROUNDUP(MAX(0,($A77*손익분기계산기!$B$56+$A77*C$65*손익분기계산기!$B$57)-입력값!$B$96)/입력값!$B$98,0))*입력값!$B$100)*12),입력값!$A$57)-입력값!$A$56)*입력값!$B$57+MAX(0,MAX(0,($A77*C$65*손익분기계산기!$B$54-손익분기계산기!$B$58-IF(입력값!$B$99="비례",MAX(0,($A77*손익분기계산기!$B$56+$A77*C$65*손익분기계산기!$B$57)-입력값!$B$96)/입력값!$B$98,ROUNDUP(MAX(0,($A77*손익분기계산기!$B$56+$A77*C$65*손익분기계산기!$B$57)-입력값!$B$96)/입력값!$B$98,0))*입력값!$B$100)*12)-입력값!$A$57)*입력값!$B$58)*(1+입력값!$B$59)*(1-입력값!$B$60)/12))*입력값!$B$64</f>
        <v/>
      </c>
      <c r="D77" s="20">
        <f>(($A77*D$65*손익분기계산기!$B$54-손익분기계산기!$B$58-IF(입력값!$B$99="비례",MAX(0,($A77*손익분기계산기!$B$56+$A77*D$65*손익분기계산기!$B$57)-입력값!$B$96)/입력값!$B$98,ROUNDUP(MAX(0,($A77*손익분기계산기!$B$56+$A77*D$65*손익분기계산기!$B$57)-입력값!$B$96)/입력값!$B$98,0))*입력값!$B$100)-(MIN(MAX(0,($A77*D$65*손익분기계산기!$B$54-손익분기계산기!$B$58-IF(입력값!$B$99="비례",MAX(0,($A77*손익분기계산기!$B$56+$A77*D$65*손익분기계산기!$B$57)-입력값!$B$96)/입력값!$B$98,ROUNDUP(MAX(0,($A77*손익분기계산기!$B$56+$A77*D$65*손익분기계산기!$B$57)-입력값!$B$96)/입력값!$B$98,0))*입력값!$B$100)*12),입력값!$A$55)*입력값!$B$55+MAX(0,MIN(MAX(0,($A77*D$65*손익분기계산기!$B$54-손익분기계산기!$B$58-IF(입력값!$B$99="비례",MAX(0,($A77*손익분기계산기!$B$56+$A77*D$65*손익분기계산기!$B$57)-입력값!$B$96)/입력값!$B$98,ROUNDUP(MAX(0,($A77*손익분기계산기!$B$56+$A77*D$65*손익분기계산기!$B$57)-입력값!$B$96)/입력값!$B$98,0))*입력값!$B$100)*12),입력값!$A$56)-입력값!$A$55)*입력값!$B$56+MAX(0,MIN(MAX(0,($A77*D$65*손익분기계산기!$B$54-손익분기계산기!$B$58-IF(입력값!$B$99="비례",MAX(0,($A77*손익분기계산기!$B$56+$A77*D$65*손익분기계산기!$B$57)-입력값!$B$96)/입력값!$B$98,ROUNDUP(MAX(0,($A77*손익분기계산기!$B$56+$A77*D$65*손익분기계산기!$B$57)-입력값!$B$96)/입력값!$B$98,0))*입력값!$B$100)*12),입력값!$A$57)-입력값!$A$56)*입력값!$B$57+MAX(0,MAX(0,($A77*D$65*손익분기계산기!$B$54-손익분기계산기!$B$58-IF(입력값!$B$99="비례",MAX(0,($A77*손익분기계산기!$B$56+$A77*D$65*손익분기계산기!$B$57)-입력값!$B$96)/입력값!$B$98,ROUNDUP(MAX(0,($A77*손익분기계산기!$B$56+$A77*D$65*손익분기계산기!$B$57)-입력값!$B$96)/입력값!$B$98,0))*입력값!$B$100)*12)-입력값!$A$57)*입력값!$B$58)*(1+입력값!$B$59)*(1-입력값!$B$60)/12)-MAX(0,(($A77*D$65*손익분기계산기!$B$54-손익분기계산기!$B$58-IF(입력값!$B$99="비례",MAX(0,($A77*손익분기계산기!$B$56+$A77*D$65*손익분기계산기!$B$57)-입력값!$B$96)/입력값!$B$98,ROUNDUP(MAX(0,($A77*손익분기계산기!$B$56+$A77*D$65*손익분기계산기!$B$57)-입력값!$B$96)/입력값!$B$98,0))*입력값!$B$100)-(MIN(MAX(0,($A77*D$65*손익분기계산기!$B$54-손익분기계산기!$B$58-IF(입력값!$B$99="비례",MAX(0,($A77*손익분기계산기!$B$56+$A77*D$65*손익분기계산기!$B$57)-입력값!$B$96)/입력값!$B$98,ROUNDUP(MAX(0,($A77*손익분기계산기!$B$56+$A77*D$65*손익분기계산기!$B$57)-입력값!$B$96)/입력값!$B$98,0))*입력값!$B$100)*12),입력값!$A$55)*입력값!$B$55+MAX(0,MIN(MAX(0,($A77*D$65*손익분기계산기!$B$54-손익분기계산기!$B$58-IF(입력값!$B$99="비례",MAX(0,($A77*손익분기계산기!$B$56+$A77*D$65*손익분기계산기!$B$57)-입력값!$B$96)/입력값!$B$98,ROUNDUP(MAX(0,($A77*손익분기계산기!$B$56+$A77*D$65*손익분기계산기!$B$57)-입력값!$B$96)/입력값!$B$98,0))*입력값!$B$100)*12),입력값!$A$56)-입력값!$A$55)*입력값!$B$56+MAX(0,MIN(MAX(0,($A77*D$65*손익분기계산기!$B$54-손익분기계산기!$B$58-IF(입력값!$B$99="비례",MAX(0,($A77*손익분기계산기!$B$56+$A77*D$65*손익분기계산기!$B$57)-입력값!$B$96)/입력값!$B$98,ROUNDUP(MAX(0,($A77*손익분기계산기!$B$56+$A77*D$65*손익분기계산기!$B$57)-입력값!$B$96)/입력값!$B$98,0))*입력값!$B$100)*12),입력값!$A$57)-입력값!$A$56)*입력값!$B$57+MAX(0,MAX(0,($A77*D$65*손익분기계산기!$B$54-손익분기계산기!$B$58-IF(입력값!$B$99="비례",MAX(0,($A77*손익분기계산기!$B$56+$A77*D$65*손익분기계산기!$B$57)-입력값!$B$96)/입력값!$B$98,ROUNDUP(MAX(0,($A77*손익분기계산기!$B$56+$A77*D$65*손익분기계산기!$B$57)-입력값!$B$96)/입력값!$B$98,0))*입력값!$B$100)*12)-입력값!$A$57)*입력값!$B$58)*(1+입력값!$B$59)*(1-입력값!$B$60)/12))*입력값!$B$64</f>
        <v/>
      </c>
      <c r="E77" s="20">
        <f>(($A77*E$65*손익분기계산기!$B$54-손익분기계산기!$B$58-IF(입력값!$B$99="비례",MAX(0,($A77*손익분기계산기!$B$56+$A77*E$65*손익분기계산기!$B$57)-입력값!$B$96)/입력값!$B$98,ROUNDUP(MAX(0,($A77*손익분기계산기!$B$56+$A77*E$65*손익분기계산기!$B$57)-입력값!$B$96)/입력값!$B$98,0))*입력값!$B$100)-(MIN(MAX(0,($A77*E$65*손익분기계산기!$B$54-손익분기계산기!$B$58-IF(입력값!$B$99="비례",MAX(0,($A77*손익분기계산기!$B$56+$A77*E$65*손익분기계산기!$B$57)-입력값!$B$96)/입력값!$B$98,ROUNDUP(MAX(0,($A77*손익분기계산기!$B$56+$A77*E$65*손익분기계산기!$B$57)-입력값!$B$96)/입력값!$B$98,0))*입력값!$B$100)*12),입력값!$A$55)*입력값!$B$55+MAX(0,MIN(MAX(0,($A77*E$65*손익분기계산기!$B$54-손익분기계산기!$B$58-IF(입력값!$B$99="비례",MAX(0,($A77*손익분기계산기!$B$56+$A77*E$65*손익분기계산기!$B$57)-입력값!$B$96)/입력값!$B$98,ROUNDUP(MAX(0,($A77*손익분기계산기!$B$56+$A77*E$65*손익분기계산기!$B$57)-입력값!$B$96)/입력값!$B$98,0))*입력값!$B$100)*12),입력값!$A$56)-입력값!$A$55)*입력값!$B$56+MAX(0,MIN(MAX(0,($A77*E$65*손익분기계산기!$B$54-손익분기계산기!$B$58-IF(입력값!$B$99="비례",MAX(0,($A77*손익분기계산기!$B$56+$A77*E$65*손익분기계산기!$B$57)-입력값!$B$96)/입력값!$B$98,ROUNDUP(MAX(0,($A77*손익분기계산기!$B$56+$A77*E$65*손익분기계산기!$B$57)-입력값!$B$96)/입력값!$B$98,0))*입력값!$B$100)*12),입력값!$A$57)-입력값!$A$56)*입력값!$B$57+MAX(0,MAX(0,($A77*E$65*손익분기계산기!$B$54-손익분기계산기!$B$58-IF(입력값!$B$99="비례",MAX(0,($A77*손익분기계산기!$B$56+$A77*E$65*손익분기계산기!$B$57)-입력값!$B$96)/입력값!$B$98,ROUNDUP(MAX(0,($A77*손익분기계산기!$B$56+$A77*E$65*손익분기계산기!$B$57)-입력값!$B$96)/입력값!$B$98,0))*입력값!$B$100)*12)-입력값!$A$57)*입력값!$B$58)*(1+입력값!$B$59)*(1-입력값!$B$60)/12)-MAX(0,(($A77*E$65*손익분기계산기!$B$54-손익분기계산기!$B$58-IF(입력값!$B$99="비례",MAX(0,($A77*손익분기계산기!$B$56+$A77*E$65*손익분기계산기!$B$57)-입력값!$B$96)/입력값!$B$98,ROUNDUP(MAX(0,($A77*손익분기계산기!$B$56+$A77*E$65*손익분기계산기!$B$57)-입력값!$B$96)/입력값!$B$98,0))*입력값!$B$100)-(MIN(MAX(0,($A77*E$65*손익분기계산기!$B$54-손익분기계산기!$B$58-IF(입력값!$B$99="비례",MAX(0,($A77*손익분기계산기!$B$56+$A77*E$65*손익분기계산기!$B$57)-입력값!$B$96)/입력값!$B$98,ROUNDUP(MAX(0,($A77*손익분기계산기!$B$56+$A77*E$65*손익분기계산기!$B$57)-입력값!$B$96)/입력값!$B$98,0))*입력값!$B$100)*12),입력값!$A$55)*입력값!$B$55+MAX(0,MIN(MAX(0,($A77*E$65*손익분기계산기!$B$54-손익분기계산기!$B$58-IF(입력값!$B$99="비례",MAX(0,($A77*손익분기계산기!$B$56+$A77*E$65*손익분기계산기!$B$57)-입력값!$B$96)/입력값!$B$98,ROUNDUP(MAX(0,($A77*손익분기계산기!$B$56+$A77*E$65*손익분기계산기!$B$57)-입력값!$B$96)/입력값!$B$98,0))*입력값!$B$100)*12),입력값!$A$56)-입력값!$A$55)*입력값!$B$56+MAX(0,MIN(MAX(0,($A77*E$65*손익분기계산기!$B$54-손익분기계산기!$B$58-IF(입력값!$B$99="비례",MAX(0,($A77*손익분기계산기!$B$56+$A77*E$65*손익분기계산기!$B$57)-입력값!$B$96)/입력값!$B$98,ROUNDUP(MAX(0,($A77*손익분기계산기!$B$56+$A77*E$65*손익분기계산기!$B$57)-입력값!$B$96)/입력값!$B$98,0))*입력값!$B$100)*12),입력값!$A$57)-입력값!$A$56)*입력값!$B$57+MAX(0,MAX(0,($A77*E$65*손익분기계산기!$B$54-손익분기계산기!$B$58-IF(입력값!$B$99="비례",MAX(0,($A77*손익분기계산기!$B$56+$A77*E$65*손익분기계산기!$B$57)-입력값!$B$96)/입력값!$B$98,ROUNDUP(MAX(0,($A77*손익분기계산기!$B$56+$A77*E$65*손익분기계산기!$B$57)-입력값!$B$96)/입력값!$B$98,0))*입력값!$B$100)*12)-입력값!$A$57)*입력값!$B$58)*(1+입력값!$B$59)*(1-입력값!$B$60)/12))*입력값!$B$64</f>
        <v/>
      </c>
      <c r="F77" s="20">
        <f>(($A77*F$65*손익분기계산기!$B$54-손익분기계산기!$B$58-IF(입력값!$B$99="비례",MAX(0,($A77*손익분기계산기!$B$56+$A77*F$65*손익분기계산기!$B$57)-입력값!$B$96)/입력값!$B$98,ROUNDUP(MAX(0,($A77*손익분기계산기!$B$56+$A77*F$65*손익분기계산기!$B$57)-입력값!$B$96)/입력값!$B$98,0))*입력값!$B$100)-(MIN(MAX(0,($A77*F$65*손익분기계산기!$B$54-손익분기계산기!$B$58-IF(입력값!$B$99="비례",MAX(0,($A77*손익분기계산기!$B$56+$A77*F$65*손익분기계산기!$B$57)-입력값!$B$96)/입력값!$B$98,ROUNDUP(MAX(0,($A77*손익분기계산기!$B$56+$A77*F$65*손익분기계산기!$B$57)-입력값!$B$96)/입력값!$B$98,0))*입력값!$B$100)*12),입력값!$A$55)*입력값!$B$55+MAX(0,MIN(MAX(0,($A77*F$65*손익분기계산기!$B$54-손익분기계산기!$B$58-IF(입력값!$B$99="비례",MAX(0,($A77*손익분기계산기!$B$56+$A77*F$65*손익분기계산기!$B$57)-입력값!$B$96)/입력값!$B$98,ROUNDUP(MAX(0,($A77*손익분기계산기!$B$56+$A77*F$65*손익분기계산기!$B$57)-입력값!$B$96)/입력값!$B$98,0))*입력값!$B$100)*12),입력값!$A$56)-입력값!$A$55)*입력값!$B$56+MAX(0,MIN(MAX(0,($A77*F$65*손익분기계산기!$B$54-손익분기계산기!$B$58-IF(입력값!$B$99="비례",MAX(0,($A77*손익분기계산기!$B$56+$A77*F$65*손익분기계산기!$B$57)-입력값!$B$96)/입력값!$B$98,ROUNDUP(MAX(0,($A77*손익분기계산기!$B$56+$A77*F$65*손익분기계산기!$B$57)-입력값!$B$96)/입력값!$B$98,0))*입력값!$B$100)*12),입력값!$A$57)-입력값!$A$56)*입력값!$B$57+MAX(0,MAX(0,($A77*F$65*손익분기계산기!$B$54-손익분기계산기!$B$58-IF(입력값!$B$99="비례",MAX(0,($A77*손익분기계산기!$B$56+$A77*F$65*손익분기계산기!$B$57)-입력값!$B$96)/입력값!$B$98,ROUNDUP(MAX(0,($A77*손익분기계산기!$B$56+$A77*F$65*손익분기계산기!$B$57)-입력값!$B$96)/입력값!$B$98,0))*입력값!$B$100)*12)-입력값!$A$57)*입력값!$B$58)*(1+입력값!$B$59)*(1-입력값!$B$60)/12)-MAX(0,(($A77*F$65*손익분기계산기!$B$54-손익분기계산기!$B$58-IF(입력값!$B$99="비례",MAX(0,($A77*손익분기계산기!$B$56+$A77*F$65*손익분기계산기!$B$57)-입력값!$B$96)/입력값!$B$98,ROUNDUP(MAX(0,($A77*손익분기계산기!$B$56+$A77*F$65*손익분기계산기!$B$57)-입력값!$B$96)/입력값!$B$98,0))*입력값!$B$100)-(MIN(MAX(0,($A77*F$65*손익분기계산기!$B$54-손익분기계산기!$B$58-IF(입력값!$B$99="비례",MAX(0,($A77*손익분기계산기!$B$56+$A77*F$65*손익분기계산기!$B$57)-입력값!$B$96)/입력값!$B$98,ROUNDUP(MAX(0,($A77*손익분기계산기!$B$56+$A77*F$65*손익분기계산기!$B$57)-입력값!$B$96)/입력값!$B$98,0))*입력값!$B$100)*12),입력값!$A$55)*입력값!$B$55+MAX(0,MIN(MAX(0,($A77*F$65*손익분기계산기!$B$54-손익분기계산기!$B$58-IF(입력값!$B$99="비례",MAX(0,($A77*손익분기계산기!$B$56+$A77*F$65*손익분기계산기!$B$57)-입력값!$B$96)/입력값!$B$98,ROUNDUP(MAX(0,($A77*손익분기계산기!$B$56+$A77*F$65*손익분기계산기!$B$57)-입력값!$B$96)/입력값!$B$98,0))*입력값!$B$100)*12),입력값!$A$56)-입력값!$A$55)*입력값!$B$56+MAX(0,MIN(MAX(0,($A77*F$65*손익분기계산기!$B$54-손익분기계산기!$B$58-IF(입력값!$B$99="비례",MAX(0,($A77*손익분기계산기!$B$56+$A77*F$65*손익분기계산기!$B$57)-입력값!$B$96)/입력값!$B$98,ROUNDUP(MAX(0,($A77*손익분기계산기!$B$56+$A77*F$65*손익분기계산기!$B$57)-입력값!$B$96)/입력값!$B$98,0))*입력값!$B$100)*12),입력값!$A$57)-입력값!$A$56)*입력값!$B$57+MAX(0,MAX(0,($A77*F$65*손익분기계산기!$B$54-손익분기계산기!$B$58-IF(입력값!$B$99="비례",MAX(0,($A77*손익분기계산기!$B$56+$A77*F$65*손익분기계산기!$B$57)-입력값!$B$96)/입력값!$B$98,ROUNDUP(MAX(0,($A77*손익분기계산기!$B$56+$A77*F$65*손익분기계산기!$B$57)-입력값!$B$96)/입력값!$B$98,0))*입력값!$B$100)*12)-입력값!$A$57)*입력값!$B$58)*(1+입력값!$B$59)*(1-입력값!$B$60)/12))*입력값!$B$64</f>
        <v/>
      </c>
      <c r="G77" s="20">
        <f>(($A77*G$65*손익분기계산기!$B$54-손익분기계산기!$B$58-IF(입력값!$B$99="비례",MAX(0,($A77*손익분기계산기!$B$56+$A77*G$65*손익분기계산기!$B$57)-입력값!$B$96)/입력값!$B$98,ROUNDUP(MAX(0,($A77*손익분기계산기!$B$56+$A77*G$65*손익분기계산기!$B$57)-입력값!$B$96)/입력값!$B$98,0))*입력값!$B$100)-(MIN(MAX(0,($A77*G$65*손익분기계산기!$B$54-손익분기계산기!$B$58-IF(입력값!$B$99="비례",MAX(0,($A77*손익분기계산기!$B$56+$A77*G$65*손익분기계산기!$B$57)-입력값!$B$96)/입력값!$B$98,ROUNDUP(MAX(0,($A77*손익분기계산기!$B$56+$A77*G$65*손익분기계산기!$B$57)-입력값!$B$96)/입력값!$B$98,0))*입력값!$B$100)*12),입력값!$A$55)*입력값!$B$55+MAX(0,MIN(MAX(0,($A77*G$65*손익분기계산기!$B$54-손익분기계산기!$B$58-IF(입력값!$B$99="비례",MAX(0,($A77*손익분기계산기!$B$56+$A77*G$65*손익분기계산기!$B$57)-입력값!$B$96)/입력값!$B$98,ROUNDUP(MAX(0,($A77*손익분기계산기!$B$56+$A77*G$65*손익분기계산기!$B$57)-입력값!$B$96)/입력값!$B$98,0))*입력값!$B$100)*12),입력값!$A$56)-입력값!$A$55)*입력값!$B$56+MAX(0,MIN(MAX(0,($A77*G$65*손익분기계산기!$B$54-손익분기계산기!$B$58-IF(입력값!$B$99="비례",MAX(0,($A77*손익분기계산기!$B$56+$A77*G$65*손익분기계산기!$B$57)-입력값!$B$96)/입력값!$B$98,ROUNDUP(MAX(0,($A77*손익분기계산기!$B$56+$A77*G$65*손익분기계산기!$B$57)-입력값!$B$96)/입력값!$B$98,0))*입력값!$B$100)*12),입력값!$A$57)-입력값!$A$56)*입력값!$B$57+MAX(0,MAX(0,($A77*G$65*손익분기계산기!$B$54-손익분기계산기!$B$58-IF(입력값!$B$99="비례",MAX(0,($A77*손익분기계산기!$B$56+$A77*G$65*손익분기계산기!$B$57)-입력값!$B$96)/입력값!$B$98,ROUNDUP(MAX(0,($A77*손익분기계산기!$B$56+$A77*G$65*손익분기계산기!$B$57)-입력값!$B$96)/입력값!$B$98,0))*입력값!$B$100)*12)-입력값!$A$57)*입력값!$B$58)*(1+입력값!$B$59)*(1-입력값!$B$60)/12)-MAX(0,(($A77*G$65*손익분기계산기!$B$54-손익분기계산기!$B$58-IF(입력값!$B$99="비례",MAX(0,($A77*손익분기계산기!$B$56+$A77*G$65*손익분기계산기!$B$57)-입력값!$B$96)/입력값!$B$98,ROUNDUP(MAX(0,($A77*손익분기계산기!$B$56+$A77*G$65*손익분기계산기!$B$57)-입력값!$B$96)/입력값!$B$98,0))*입력값!$B$100)-(MIN(MAX(0,($A77*G$65*손익분기계산기!$B$54-손익분기계산기!$B$58-IF(입력값!$B$99="비례",MAX(0,($A77*손익분기계산기!$B$56+$A77*G$65*손익분기계산기!$B$57)-입력값!$B$96)/입력값!$B$98,ROUNDUP(MAX(0,($A77*손익분기계산기!$B$56+$A77*G$65*손익분기계산기!$B$57)-입력값!$B$96)/입력값!$B$98,0))*입력값!$B$100)*12),입력값!$A$55)*입력값!$B$55+MAX(0,MIN(MAX(0,($A77*G$65*손익분기계산기!$B$54-손익분기계산기!$B$58-IF(입력값!$B$99="비례",MAX(0,($A77*손익분기계산기!$B$56+$A77*G$65*손익분기계산기!$B$57)-입력값!$B$96)/입력값!$B$98,ROUNDUP(MAX(0,($A77*손익분기계산기!$B$56+$A77*G$65*손익분기계산기!$B$57)-입력값!$B$96)/입력값!$B$98,0))*입력값!$B$100)*12),입력값!$A$56)-입력값!$A$55)*입력값!$B$56+MAX(0,MIN(MAX(0,($A77*G$65*손익분기계산기!$B$54-손익분기계산기!$B$58-IF(입력값!$B$99="비례",MAX(0,($A77*손익분기계산기!$B$56+$A77*G$65*손익분기계산기!$B$57)-입력값!$B$96)/입력값!$B$98,ROUNDUP(MAX(0,($A77*손익분기계산기!$B$56+$A77*G$65*손익분기계산기!$B$57)-입력값!$B$96)/입력값!$B$98,0))*입력값!$B$100)*12),입력값!$A$57)-입력값!$A$56)*입력값!$B$57+MAX(0,MAX(0,($A77*G$65*손익분기계산기!$B$54-손익분기계산기!$B$58-IF(입력값!$B$99="비례",MAX(0,($A77*손익분기계산기!$B$56+$A77*G$65*손익분기계산기!$B$57)-입력값!$B$96)/입력값!$B$98,ROUNDUP(MAX(0,($A77*손익분기계산기!$B$56+$A77*G$65*손익분기계산기!$B$57)-입력값!$B$96)/입력값!$B$98,0))*입력값!$B$100)*12)-입력값!$A$57)*입력값!$B$58)*(1+입력값!$B$59)*(1-입력값!$B$60)/12))*입력값!$B$64</f>
        <v/>
      </c>
      <c r="H77" s="20">
        <f>(($A77*H$65*손익분기계산기!$B$54-손익분기계산기!$B$58-IF(입력값!$B$99="비례",MAX(0,($A77*손익분기계산기!$B$56+$A77*H$65*손익분기계산기!$B$57)-입력값!$B$96)/입력값!$B$98,ROUNDUP(MAX(0,($A77*손익분기계산기!$B$56+$A77*H$65*손익분기계산기!$B$57)-입력값!$B$96)/입력값!$B$98,0))*입력값!$B$100)-(MIN(MAX(0,($A77*H$65*손익분기계산기!$B$54-손익분기계산기!$B$58-IF(입력값!$B$99="비례",MAX(0,($A77*손익분기계산기!$B$56+$A77*H$65*손익분기계산기!$B$57)-입력값!$B$96)/입력값!$B$98,ROUNDUP(MAX(0,($A77*손익분기계산기!$B$56+$A77*H$65*손익분기계산기!$B$57)-입력값!$B$96)/입력값!$B$98,0))*입력값!$B$100)*12),입력값!$A$55)*입력값!$B$55+MAX(0,MIN(MAX(0,($A77*H$65*손익분기계산기!$B$54-손익분기계산기!$B$58-IF(입력값!$B$99="비례",MAX(0,($A77*손익분기계산기!$B$56+$A77*H$65*손익분기계산기!$B$57)-입력값!$B$96)/입력값!$B$98,ROUNDUP(MAX(0,($A77*손익분기계산기!$B$56+$A77*H$65*손익분기계산기!$B$57)-입력값!$B$96)/입력값!$B$98,0))*입력값!$B$100)*12),입력값!$A$56)-입력값!$A$55)*입력값!$B$56+MAX(0,MIN(MAX(0,($A77*H$65*손익분기계산기!$B$54-손익분기계산기!$B$58-IF(입력값!$B$99="비례",MAX(0,($A77*손익분기계산기!$B$56+$A77*H$65*손익분기계산기!$B$57)-입력값!$B$96)/입력값!$B$98,ROUNDUP(MAX(0,($A77*손익분기계산기!$B$56+$A77*H$65*손익분기계산기!$B$57)-입력값!$B$96)/입력값!$B$98,0))*입력값!$B$100)*12),입력값!$A$57)-입력값!$A$56)*입력값!$B$57+MAX(0,MAX(0,($A77*H$65*손익분기계산기!$B$54-손익분기계산기!$B$58-IF(입력값!$B$99="비례",MAX(0,($A77*손익분기계산기!$B$56+$A77*H$65*손익분기계산기!$B$57)-입력값!$B$96)/입력값!$B$98,ROUNDUP(MAX(0,($A77*손익분기계산기!$B$56+$A77*H$65*손익분기계산기!$B$57)-입력값!$B$96)/입력값!$B$98,0))*입력값!$B$100)*12)-입력값!$A$57)*입력값!$B$58)*(1+입력값!$B$59)*(1-입력값!$B$60)/12)-MAX(0,(($A77*H$65*손익분기계산기!$B$54-손익분기계산기!$B$58-IF(입력값!$B$99="비례",MAX(0,($A77*손익분기계산기!$B$56+$A77*H$65*손익분기계산기!$B$57)-입력값!$B$96)/입력값!$B$98,ROUNDUP(MAX(0,($A77*손익분기계산기!$B$56+$A77*H$65*손익분기계산기!$B$57)-입력값!$B$96)/입력값!$B$98,0))*입력값!$B$100)-(MIN(MAX(0,($A77*H$65*손익분기계산기!$B$54-손익분기계산기!$B$58-IF(입력값!$B$99="비례",MAX(0,($A77*손익분기계산기!$B$56+$A77*H$65*손익분기계산기!$B$57)-입력값!$B$96)/입력값!$B$98,ROUNDUP(MAX(0,($A77*손익분기계산기!$B$56+$A77*H$65*손익분기계산기!$B$57)-입력값!$B$96)/입력값!$B$98,0))*입력값!$B$100)*12),입력값!$A$55)*입력값!$B$55+MAX(0,MIN(MAX(0,($A77*H$65*손익분기계산기!$B$54-손익분기계산기!$B$58-IF(입력값!$B$99="비례",MAX(0,($A77*손익분기계산기!$B$56+$A77*H$65*손익분기계산기!$B$57)-입력값!$B$96)/입력값!$B$98,ROUNDUP(MAX(0,($A77*손익분기계산기!$B$56+$A77*H$65*손익분기계산기!$B$57)-입력값!$B$96)/입력값!$B$98,0))*입력값!$B$100)*12),입력값!$A$56)-입력값!$A$55)*입력값!$B$56+MAX(0,MIN(MAX(0,($A77*H$65*손익분기계산기!$B$54-손익분기계산기!$B$58-IF(입력값!$B$99="비례",MAX(0,($A77*손익분기계산기!$B$56+$A77*H$65*손익분기계산기!$B$57)-입력값!$B$96)/입력값!$B$98,ROUNDUP(MAX(0,($A77*손익분기계산기!$B$56+$A77*H$65*손익분기계산기!$B$57)-입력값!$B$96)/입력값!$B$98,0))*입력값!$B$100)*12),입력값!$A$57)-입력값!$A$56)*입력값!$B$57+MAX(0,MAX(0,($A77*H$65*손익분기계산기!$B$54-손익분기계산기!$B$58-IF(입력값!$B$99="비례",MAX(0,($A77*손익분기계산기!$B$56+$A77*H$65*손익분기계산기!$B$57)-입력값!$B$96)/입력값!$B$98,ROUNDUP(MAX(0,($A77*손익분기계산기!$B$56+$A77*H$65*손익분기계산기!$B$57)-입력값!$B$96)/입력값!$B$98,0))*입력값!$B$100)*12)-입력값!$A$57)*입력값!$B$58)*(1+입력값!$B$59)*(1-입력값!$B$60)/12))*입력값!$B$64</f>
        <v/>
      </c>
      <c r="I77" s="20">
        <f>(($A77*I$65*손익분기계산기!$B$54-손익분기계산기!$B$58-IF(입력값!$B$99="비례",MAX(0,($A77*손익분기계산기!$B$56+$A77*I$65*손익분기계산기!$B$57)-입력값!$B$96)/입력값!$B$98,ROUNDUP(MAX(0,($A77*손익분기계산기!$B$56+$A77*I$65*손익분기계산기!$B$57)-입력값!$B$96)/입력값!$B$98,0))*입력값!$B$100)-(MIN(MAX(0,($A77*I$65*손익분기계산기!$B$54-손익분기계산기!$B$58-IF(입력값!$B$99="비례",MAX(0,($A77*손익분기계산기!$B$56+$A77*I$65*손익분기계산기!$B$57)-입력값!$B$96)/입력값!$B$98,ROUNDUP(MAX(0,($A77*손익분기계산기!$B$56+$A77*I$65*손익분기계산기!$B$57)-입력값!$B$96)/입력값!$B$98,0))*입력값!$B$100)*12),입력값!$A$55)*입력값!$B$55+MAX(0,MIN(MAX(0,($A77*I$65*손익분기계산기!$B$54-손익분기계산기!$B$58-IF(입력값!$B$99="비례",MAX(0,($A77*손익분기계산기!$B$56+$A77*I$65*손익분기계산기!$B$57)-입력값!$B$96)/입력값!$B$98,ROUNDUP(MAX(0,($A77*손익분기계산기!$B$56+$A77*I$65*손익분기계산기!$B$57)-입력값!$B$96)/입력값!$B$98,0))*입력값!$B$100)*12),입력값!$A$56)-입력값!$A$55)*입력값!$B$56+MAX(0,MIN(MAX(0,($A77*I$65*손익분기계산기!$B$54-손익분기계산기!$B$58-IF(입력값!$B$99="비례",MAX(0,($A77*손익분기계산기!$B$56+$A77*I$65*손익분기계산기!$B$57)-입력값!$B$96)/입력값!$B$98,ROUNDUP(MAX(0,($A77*손익분기계산기!$B$56+$A77*I$65*손익분기계산기!$B$57)-입력값!$B$96)/입력값!$B$98,0))*입력값!$B$100)*12),입력값!$A$57)-입력값!$A$56)*입력값!$B$57+MAX(0,MAX(0,($A77*I$65*손익분기계산기!$B$54-손익분기계산기!$B$58-IF(입력값!$B$99="비례",MAX(0,($A77*손익분기계산기!$B$56+$A77*I$65*손익분기계산기!$B$57)-입력값!$B$96)/입력값!$B$98,ROUNDUP(MAX(0,($A77*손익분기계산기!$B$56+$A77*I$65*손익분기계산기!$B$57)-입력값!$B$96)/입력값!$B$98,0))*입력값!$B$100)*12)-입력값!$A$57)*입력값!$B$58)*(1+입력값!$B$59)*(1-입력값!$B$60)/12)-MAX(0,(($A77*I$65*손익분기계산기!$B$54-손익분기계산기!$B$58-IF(입력값!$B$99="비례",MAX(0,($A77*손익분기계산기!$B$56+$A77*I$65*손익분기계산기!$B$57)-입력값!$B$96)/입력값!$B$98,ROUNDUP(MAX(0,($A77*손익분기계산기!$B$56+$A77*I$65*손익분기계산기!$B$57)-입력값!$B$96)/입력값!$B$98,0))*입력값!$B$100)-(MIN(MAX(0,($A77*I$65*손익분기계산기!$B$54-손익분기계산기!$B$58-IF(입력값!$B$99="비례",MAX(0,($A77*손익분기계산기!$B$56+$A77*I$65*손익분기계산기!$B$57)-입력값!$B$96)/입력값!$B$98,ROUNDUP(MAX(0,($A77*손익분기계산기!$B$56+$A77*I$65*손익분기계산기!$B$57)-입력값!$B$96)/입력값!$B$98,0))*입력값!$B$100)*12),입력값!$A$55)*입력값!$B$55+MAX(0,MIN(MAX(0,($A77*I$65*손익분기계산기!$B$54-손익분기계산기!$B$58-IF(입력값!$B$99="비례",MAX(0,($A77*손익분기계산기!$B$56+$A77*I$65*손익분기계산기!$B$57)-입력값!$B$96)/입력값!$B$98,ROUNDUP(MAX(0,($A77*손익분기계산기!$B$56+$A77*I$65*손익분기계산기!$B$57)-입력값!$B$96)/입력값!$B$98,0))*입력값!$B$100)*12),입력값!$A$56)-입력값!$A$55)*입력값!$B$56+MAX(0,MIN(MAX(0,($A77*I$65*손익분기계산기!$B$54-손익분기계산기!$B$58-IF(입력값!$B$99="비례",MAX(0,($A77*손익분기계산기!$B$56+$A77*I$65*손익분기계산기!$B$57)-입력값!$B$96)/입력값!$B$98,ROUNDUP(MAX(0,($A77*손익분기계산기!$B$56+$A77*I$65*손익분기계산기!$B$57)-입력값!$B$96)/입력값!$B$98,0))*입력값!$B$100)*12),입력값!$A$57)-입력값!$A$56)*입력값!$B$57+MAX(0,MAX(0,($A77*I$65*손익분기계산기!$B$54-손익분기계산기!$B$58-IF(입력값!$B$99="비례",MAX(0,($A77*손익분기계산기!$B$56+$A77*I$65*손익분기계산기!$B$57)-입력값!$B$96)/입력값!$B$98,ROUNDUP(MAX(0,($A77*손익분기계산기!$B$56+$A77*I$65*손익분기계산기!$B$57)-입력값!$B$96)/입력값!$B$98,0))*입력값!$B$100)*12)-입력값!$A$57)*입력값!$B$58)*(1+입력값!$B$59)*(1-입력값!$B$60)/12))*입력값!$B$64</f>
        <v/>
      </c>
    </row>
  </sheetData>
  <conditionalFormatting sqref="B66:I77">
    <cfRule type="cellIs" priority="1" operator="lessThan" dxfId="1">
      <formula>0</formula>
    </cfRule>
    <cfRule type="cellIs" priority="2" operator="greaterThanOrEqual" dxfId="2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4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>
      <c r="A1" s="5" t="inlineStr">
        <is>
          <t>월별 전망 — 성장 가정(입력값 8~10번)에 따른 60개월 손익</t>
        </is>
      </c>
    </row>
    <row r="2">
      <c r="A2" s="6" t="inlineStr">
        <is>
          <t>모두 계산값. 수정은 ‘입력값’ 시트에서. 셀프서브 고객사 수는 기대값이라 소수가 나올 수 있습니다.</t>
        </is>
      </c>
    </row>
    <row r="4">
      <c r="A4" s="8" t="inlineStr">
        <is>
          <t>개월차</t>
        </is>
      </c>
      <c r="C4" s="49" t="n">
        <v>1</v>
      </c>
      <c r="D4" s="49" t="n">
        <v>2</v>
      </c>
      <c r="E4" s="49" t="n">
        <v>3</v>
      </c>
      <c r="F4" s="49" t="n">
        <v>4</v>
      </c>
      <c r="G4" s="49" t="n">
        <v>5</v>
      </c>
      <c r="H4" s="49" t="n">
        <v>6</v>
      </c>
      <c r="I4" s="49" t="n">
        <v>7</v>
      </c>
      <c r="J4" s="49" t="n">
        <v>8</v>
      </c>
      <c r="K4" s="49" t="n">
        <v>9</v>
      </c>
      <c r="L4" s="49" t="n">
        <v>10</v>
      </c>
      <c r="M4" s="49" t="n">
        <v>11</v>
      </c>
      <c r="N4" s="49" t="n">
        <v>12</v>
      </c>
      <c r="O4" s="49" t="n">
        <v>13</v>
      </c>
      <c r="P4" s="49" t="n">
        <v>14</v>
      </c>
      <c r="Q4" s="49" t="n">
        <v>15</v>
      </c>
      <c r="R4" s="49" t="n">
        <v>16</v>
      </c>
      <c r="S4" s="49" t="n">
        <v>17</v>
      </c>
      <c r="T4" s="49" t="n">
        <v>18</v>
      </c>
      <c r="U4" s="49" t="n">
        <v>19</v>
      </c>
      <c r="V4" s="49" t="n">
        <v>20</v>
      </c>
      <c r="W4" s="49" t="n">
        <v>21</v>
      </c>
      <c r="X4" s="49" t="n">
        <v>22</v>
      </c>
      <c r="Y4" s="49" t="n">
        <v>23</v>
      </c>
      <c r="Z4" s="49" t="n">
        <v>24</v>
      </c>
      <c r="AA4" s="49" t="n">
        <v>25</v>
      </c>
      <c r="AB4" s="49" t="n">
        <v>26</v>
      </c>
      <c r="AC4" s="49" t="n">
        <v>27</v>
      </c>
      <c r="AD4" s="49" t="n">
        <v>28</v>
      </c>
      <c r="AE4" s="49" t="n">
        <v>29</v>
      </c>
      <c r="AF4" s="49" t="n">
        <v>30</v>
      </c>
      <c r="AG4" s="49" t="n">
        <v>31</v>
      </c>
      <c r="AH4" s="49" t="n">
        <v>32</v>
      </c>
      <c r="AI4" s="49" t="n">
        <v>33</v>
      </c>
      <c r="AJ4" s="49" t="n">
        <v>34</v>
      </c>
      <c r="AK4" s="49" t="n">
        <v>35</v>
      </c>
      <c r="AL4" s="49" t="n">
        <v>36</v>
      </c>
      <c r="AM4" s="49" t="n">
        <v>37</v>
      </c>
      <c r="AN4" s="49" t="n">
        <v>38</v>
      </c>
      <c r="AO4" s="49" t="n">
        <v>39</v>
      </c>
      <c r="AP4" s="49" t="n">
        <v>40</v>
      </c>
      <c r="AQ4" s="49" t="n">
        <v>41</v>
      </c>
      <c r="AR4" s="49" t="n">
        <v>42</v>
      </c>
      <c r="AS4" s="49" t="n">
        <v>43</v>
      </c>
      <c r="AT4" s="49" t="n">
        <v>44</v>
      </c>
      <c r="AU4" s="49" t="n">
        <v>45</v>
      </c>
      <c r="AV4" s="49" t="n">
        <v>46</v>
      </c>
      <c r="AW4" s="49" t="n">
        <v>47</v>
      </c>
      <c r="AX4" s="49" t="n">
        <v>48</v>
      </c>
      <c r="AY4" s="49" t="n">
        <v>49</v>
      </c>
      <c r="AZ4" s="49" t="n">
        <v>50</v>
      </c>
      <c r="BA4" s="49" t="n">
        <v>51</v>
      </c>
      <c r="BB4" s="49" t="n">
        <v>52</v>
      </c>
      <c r="BC4" s="49" t="n">
        <v>53</v>
      </c>
      <c r="BD4" s="49" t="n">
        <v>54</v>
      </c>
      <c r="BE4" s="49" t="n">
        <v>55</v>
      </c>
      <c r="BF4" s="49" t="n">
        <v>56</v>
      </c>
      <c r="BG4" s="49" t="n">
        <v>57</v>
      </c>
      <c r="BH4" s="49" t="n">
        <v>58</v>
      </c>
      <c r="BI4" s="49" t="n">
        <v>59</v>
      </c>
      <c r="BJ4" s="49" t="n">
        <v>60</v>
      </c>
    </row>
    <row r="5">
      <c r="A5" s="8" t="inlineStr">
        <is>
          <t>월</t>
        </is>
      </c>
      <c r="C5" s="50">
        <f>EDATE(입력값!$B$67,C4-1)</f>
        <v/>
      </c>
      <c r="D5" s="50">
        <f>EDATE(입력값!$B$67,D4-1)</f>
        <v/>
      </c>
      <c r="E5" s="50">
        <f>EDATE(입력값!$B$67,E4-1)</f>
        <v/>
      </c>
      <c r="F5" s="50">
        <f>EDATE(입력값!$B$67,F4-1)</f>
        <v/>
      </c>
      <c r="G5" s="50">
        <f>EDATE(입력값!$B$67,G4-1)</f>
        <v/>
      </c>
      <c r="H5" s="50">
        <f>EDATE(입력값!$B$67,H4-1)</f>
        <v/>
      </c>
      <c r="I5" s="50">
        <f>EDATE(입력값!$B$67,I4-1)</f>
        <v/>
      </c>
      <c r="J5" s="50">
        <f>EDATE(입력값!$B$67,J4-1)</f>
        <v/>
      </c>
      <c r="K5" s="50">
        <f>EDATE(입력값!$B$67,K4-1)</f>
        <v/>
      </c>
      <c r="L5" s="50">
        <f>EDATE(입력값!$B$67,L4-1)</f>
        <v/>
      </c>
      <c r="M5" s="50">
        <f>EDATE(입력값!$B$67,M4-1)</f>
        <v/>
      </c>
      <c r="N5" s="50">
        <f>EDATE(입력값!$B$67,N4-1)</f>
        <v/>
      </c>
      <c r="O5" s="50">
        <f>EDATE(입력값!$B$67,O4-1)</f>
        <v/>
      </c>
      <c r="P5" s="50">
        <f>EDATE(입력값!$B$67,P4-1)</f>
        <v/>
      </c>
      <c r="Q5" s="50">
        <f>EDATE(입력값!$B$67,Q4-1)</f>
        <v/>
      </c>
      <c r="R5" s="50">
        <f>EDATE(입력값!$B$67,R4-1)</f>
        <v/>
      </c>
      <c r="S5" s="50">
        <f>EDATE(입력값!$B$67,S4-1)</f>
        <v/>
      </c>
      <c r="T5" s="50">
        <f>EDATE(입력값!$B$67,T4-1)</f>
        <v/>
      </c>
      <c r="U5" s="50">
        <f>EDATE(입력값!$B$67,U4-1)</f>
        <v/>
      </c>
      <c r="V5" s="50">
        <f>EDATE(입력값!$B$67,V4-1)</f>
        <v/>
      </c>
      <c r="W5" s="50">
        <f>EDATE(입력값!$B$67,W4-1)</f>
        <v/>
      </c>
      <c r="X5" s="50">
        <f>EDATE(입력값!$B$67,X4-1)</f>
        <v/>
      </c>
      <c r="Y5" s="50">
        <f>EDATE(입력값!$B$67,Y4-1)</f>
        <v/>
      </c>
      <c r="Z5" s="50">
        <f>EDATE(입력값!$B$67,Z4-1)</f>
        <v/>
      </c>
      <c r="AA5" s="50">
        <f>EDATE(입력값!$B$67,AA4-1)</f>
        <v/>
      </c>
      <c r="AB5" s="50">
        <f>EDATE(입력값!$B$67,AB4-1)</f>
        <v/>
      </c>
      <c r="AC5" s="50">
        <f>EDATE(입력값!$B$67,AC4-1)</f>
        <v/>
      </c>
      <c r="AD5" s="50">
        <f>EDATE(입력값!$B$67,AD4-1)</f>
        <v/>
      </c>
      <c r="AE5" s="50">
        <f>EDATE(입력값!$B$67,AE4-1)</f>
        <v/>
      </c>
      <c r="AF5" s="50">
        <f>EDATE(입력값!$B$67,AF4-1)</f>
        <v/>
      </c>
      <c r="AG5" s="50">
        <f>EDATE(입력값!$B$67,AG4-1)</f>
        <v/>
      </c>
      <c r="AH5" s="50">
        <f>EDATE(입력값!$B$67,AH4-1)</f>
        <v/>
      </c>
      <c r="AI5" s="50">
        <f>EDATE(입력값!$B$67,AI4-1)</f>
        <v/>
      </c>
      <c r="AJ5" s="50">
        <f>EDATE(입력값!$B$67,AJ4-1)</f>
        <v/>
      </c>
      <c r="AK5" s="50">
        <f>EDATE(입력값!$B$67,AK4-1)</f>
        <v/>
      </c>
      <c r="AL5" s="50">
        <f>EDATE(입력값!$B$67,AL4-1)</f>
        <v/>
      </c>
      <c r="AM5" s="50">
        <f>EDATE(입력값!$B$67,AM4-1)</f>
        <v/>
      </c>
      <c r="AN5" s="50">
        <f>EDATE(입력값!$B$67,AN4-1)</f>
        <v/>
      </c>
      <c r="AO5" s="50">
        <f>EDATE(입력값!$B$67,AO4-1)</f>
        <v/>
      </c>
      <c r="AP5" s="50">
        <f>EDATE(입력값!$B$67,AP4-1)</f>
        <v/>
      </c>
      <c r="AQ5" s="50">
        <f>EDATE(입력값!$B$67,AQ4-1)</f>
        <v/>
      </c>
      <c r="AR5" s="50">
        <f>EDATE(입력값!$B$67,AR4-1)</f>
        <v/>
      </c>
      <c r="AS5" s="50">
        <f>EDATE(입력값!$B$67,AS4-1)</f>
        <v/>
      </c>
      <c r="AT5" s="50">
        <f>EDATE(입력값!$B$67,AT4-1)</f>
        <v/>
      </c>
      <c r="AU5" s="50">
        <f>EDATE(입력값!$B$67,AU4-1)</f>
        <v/>
      </c>
      <c r="AV5" s="50">
        <f>EDATE(입력값!$B$67,AV4-1)</f>
        <v/>
      </c>
      <c r="AW5" s="50">
        <f>EDATE(입력값!$B$67,AW4-1)</f>
        <v/>
      </c>
      <c r="AX5" s="50">
        <f>EDATE(입력값!$B$67,AX4-1)</f>
        <v/>
      </c>
      <c r="AY5" s="50">
        <f>EDATE(입력값!$B$67,AY4-1)</f>
        <v/>
      </c>
      <c r="AZ5" s="50">
        <f>EDATE(입력값!$B$67,AZ4-1)</f>
        <v/>
      </c>
      <c r="BA5" s="50">
        <f>EDATE(입력값!$B$67,BA4-1)</f>
        <v/>
      </c>
      <c r="BB5" s="50">
        <f>EDATE(입력값!$B$67,BB4-1)</f>
        <v/>
      </c>
      <c r="BC5" s="50">
        <f>EDATE(입력값!$B$67,BC4-1)</f>
        <v/>
      </c>
      <c r="BD5" s="50">
        <f>EDATE(입력값!$B$67,BD4-1)</f>
        <v/>
      </c>
      <c r="BE5" s="50">
        <f>EDATE(입력값!$B$67,BE4-1)</f>
        <v/>
      </c>
      <c r="BF5" s="50">
        <f>EDATE(입력값!$B$67,BF4-1)</f>
        <v/>
      </c>
      <c r="BG5" s="50">
        <f>EDATE(입력값!$B$67,BG4-1)</f>
        <v/>
      </c>
      <c r="BH5" s="50">
        <f>EDATE(입력값!$B$67,BH4-1)</f>
        <v/>
      </c>
      <c r="BI5" s="50">
        <f>EDATE(입력값!$B$67,BI4-1)</f>
        <v/>
      </c>
      <c r="BJ5" s="50">
        <f>EDATE(입력값!$B$67,BJ4-1)</f>
        <v/>
      </c>
    </row>
    <row r="6">
      <c r="A6" s="25" t="inlineStr">
        <is>
          <t>연차</t>
        </is>
      </c>
      <c r="C6" s="51">
        <f>INT((C4-1)/12)+1</f>
        <v/>
      </c>
      <c r="D6" s="51">
        <f>INT((D4-1)/12)+1</f>
        <v/>
      </c>
      <c r="E6" s="51">
        <f>INT((E4-1)/12)+1</f>
        <v/>
      </c>
      <c r="F6" s="51">
        <f>INT((F4-1)/12)+1</f>
        <v/>
      </c>
      <c r="G6" s="51">
        <f>INT((G4-1)/12)+1</f>
        <v/>
      </c>
      <c r="H6" s="51">
        <f>INT((H4-1)/12)+1</f>
        <v/>
      </c>
      <c r="I6" s="51">
        <f>INT((I4-1)/12)+1</f>
        <v/>
      </c>
      <c r="J6" s="51">
        <f>INT((J4-1)/12)+1</f>
        <v/>
      </c>
      <c r="K6" s="51">
        <f>INT((K4-1)/12)+1</f>
        <v/>
      </c>
      <c r="L6" s="51">
        <f>INT((L4-1)/12)+1</f>
        <v/>
      </c>
      <c r="M6" s="51">
        <f>INT((M4-1)/12)+1</f>
        <v/>
      </c>
      <c r="N6" s="51">
        <f>INT((N4-1)/12)+1</f>
        <v/>
      </c>
      <c r="O6" s="51">
        <f>INT((O4-1)/12)+1</f>
        <v/>
      </c>
      <c r="P6" s="51">
        <f>INT((P4-1)/12)+1</f>
        <v/>
      </c>
      <c r="Q6" s="51">
        <f>INT((Q4-1)/12)+1</f>
        <v/>
      </c>
      <c r="R6" s="51">
        <f>INT((R4-1)/12)+1</f>
        <v/>
      </c>
      <c r="S6" s="51">
        <f>INT((S4-1)/12)+1</f>
        <v/>
      </c>
      <c r="T6" s="51">
        <f>INT((T4-1)/12)+1</f>
        <v/>
      </c>
      <c r="U6" s="51">
        <f>INT((U4-1)/12)+1</f>
        <v/>
      </c>
      <c r="V6" s="51">
        <f>INT((V4-1)/12)+1</f>
        <v/>
      </c>
      <c r="W6" s="51">
        <f>INT((W4-1)/12)+1</f>
        <v/>
      </c>
      <c r="X6" s="51">
        <f>INT((X4-1)/12)+1</f>
        <v/>
      </c>
      <c r="Y6" s="51">
        <f>INT((Y4-1)/12)+1</f>
        <v/>
      </c>
      <c r="Z6" s="51">
        <f>INT((Z4-1)/12)+1</f>
        <v/>
      </c>
      <c r="AA6" s="51">
        <f>INT((AA4-1)/12)+1</f>
        <v/>
      </c>
      <c r="AB6" s="51">
        <f>INT((AB4-1)/12)+1</f>
        <v/>
      </c>
      <c r="AC6" s="51">
        <f>INT((AC4-1)/12)+1</f>
        <v/>
      </c>
      <c r="AD6" s="51">
        <f>INT((AD4-1)/12)+1</f>
        <v/>
      </c>
      <c r="AE6" s="51">
        <f>INT((AE4-1)/12)+1</f>
        <v/>
      </c>
      <c r="AF6" s="51">
        <f>INT((AF4-1)/12)+1</f>
        <v/>
      </c>
      <c r="AG6" s="51">
        <f>INT((AG4-1)/12)+1</f>
        <v/>
      </c>
      <c r="AH6" s="51">
        <f>INT((AH4-1)/12)+1</f>
        <v/>
      </c>
      <c r="AI6" s="51">
        <f>INT((AI4-1)/12)+1</f>
        <v/>
      </c>
      <c r="AJ6" s="51">
        <f>INT((AJ4-1)/12)+1</f>
        <v/>
      </c>
      <c r="AK6" s="51">
        <f>INT((AK4-1)/12)+1</f>
        <v/>
      </c>
      <c r="AL6" s="51">
        <f>INT((AL4-1)/12)+1</f>
        <v/>
      </c>
      <c r="AM6" s="51">
        <f>INT((AM4-1)/12)+1</f>
        <v/>
      </c>
      <c r="AN6" s="51">
        <f>INT((AN4-1)/12)+1</f>
        <v/>
      </c>
      <c r="AO6" s="51">
        <f>INT((AO4-1)/12)+1</f>
        <v/>
      </c>
      <c r="AP6" s="51">
        <f>INT((AP4-1)/12)+1</f>
        <v/>
      </c>
      <c r="AQ6" s="51">
        <f>INT((AQ4-1)/12)+1</f>
        <v/>
      </c>
      <c r="AR6" s="51">
        <f>INT((AR4-1)/12)+1</f>
        <v/>
      </c>
      <c r="AS6" s="51">
        <f>INT((AS4-1)/12)+1</f>
        <v/>
      </c>
      <c r="AT6" s="51">
        <f>INT((AT4-1)/12)+1</f>
        <v/>
      </c>
      <c r="AU6" s="51">
        <f>INT((AU4-1)/12)+1</f>
        <v/>
      </c>
      <c r="AV6" s="51">
        <f>INT((AV4-1)/12)+1</f>
        <v/>
      </c>
      <c r="AW6" s="51">
        <f>INT((AW4-1)/12)+1</f>
        <v/>
      </c>
      <c r="AX6" s="51">
        <f>INT((AX4-1)/12)+1</f>
        <v/>
      </c>
      <c r="AY6" s="51">
        <f>INT((AY4-1)/12)+1</f>
        <v/>
      </c>
      <c r="AZ6" s="51">
        <f>INT((AZ4-1)/12)+1</f>
        <v/>
      </c>
      <c r="BA6" s="51">
        <f>INT((BA4-1)/12)+1</f>
        <v/>
      </c>
      <c r="BB6" s="51">
        <f>INT((BB4-1)/12)+1</f>
        <v/>
      </c>
      <c r="BC6" s="51">
        <f>INT((BC4-1)/12)+1</f>
        <v/>
      </c>
      <c r="BD6" s="51">
        <f>INT((BD4-1)/12)+1</f>
        <v/>
      </c>
      <c r="BE6" s="51">
        <f>INT((BE4-1)/12)+1</f>
        <v/>
      </c>
      <c r="BF6" s="51">
        <f>INT((BF4-1)/12)+1</f>
        <v/>
      </c>
      <c r="BG6" s="51">
        <f>INT((BG4-1)/12)+1</f>
        <v/>
      </c>
      <c r="BH6" s="51">
        <f>INT((BH4-1)/12)+1</f>
        <v/>
      </c>
      <c r="BI6" s="51">
        <f>INT((BI4-1)/12)+1</f>
        <v/>
      </c>
      <c r="BJ6" s="51">
        <f>INT((BJ4-1)/12)+1</f>
        <v/>
      </c>
    </row>
    <row r="7">
      <c r="A7" s="18" t="inlineStr">
        <is>
          <t>고객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</row>
    <row r="8">
      <c r="A8" s="25" t="inlineStr">
        <is>
          <t>신규 고객사 (셀프서브)</t>
        </is>
      </c>
      <c r="C8" s="13">
        <f>입력값!$B$69*(1+입력값!$B$70)^(C4-1)</f>
        <v/>
      </c>
      <c r="D8" s="13">
        <f>입력값!$B$69*(1+입력값!$B$70)^(D4-1)</f>
        <v/>
      </c>
      <c r="E8" s="13">
        <f>입력값!$B$69*(1+입력값!$B$70)^(E4-1)</f>
        <v/>
      </c>
      <c r="F8" s="13">
        <f>입력값!$B$69*(1+입력값!$B$70)^(F4-1)</f>
        <v/>
      </c>
      <c r="G8" s="13">
        <f>입력값!$B$69*(1+입력값!$B$70)^(G4-1)</f>
        <v/>
      </c>
      <c r="H8" s="13">
        <f>입력값!$B$69*(1+입력값!$B$70)^(H4-1)</f>
        <v/>
      </c>
      <c r="I8" s="13">
        <f>입력값!$B$69*(1+입력값!$B$70)^(I4-1)</f>
        <v/>
      </c>
      <c r="J8" s="13">
        <f>입력값!$B$69*(1+입력값!$B$70)^(J4-1)</f>
        <v/>
      </c>
      <c r="K8" s="13">
        <f>입력값!$B$69*(1+입력값!$B$70)^(K4-1)</f>
        <v/>
      </c>
      <c r="L8" s="13">
        <f>입력값!$B$69*(1+입력값!$B$70)^(L4-1)</f>
        <v/>
      </c>
      <c r="M8" s="13">
        <f>입력값!$B$69*(1+입력값!$B$70)^(M4-1)</f>
        <v/>
      </c>
      <c r="N8" s="13">
        <f>입력값!$B$69*(1+입력값!$B$70)^(N4-1)</f>
        <v/>
      </c>
      <c r="O8" s="13">
        <f>입력값!$B$69*(1+입력값!$B$70)^(O4-1)</f>
        <v/>
      </c>
      <c r="P8" s="13">
        <f>입력값!$B$69*(1+입력값!$B$70)^(P4-1)</f>
        <v/>
      </c>
      <c r="Q8" s="13">
        <f>입력값!$B$69*(1+입력값!$B$70)^(Q4-1)</f>
        <v/>
      </c>
      <c r="R8" s="13">
        <f>입력값!$B$69*(1+입력값!$B$70)^(R4-1)</f>
        <v/>
      </c>
      <c r="S8" s="13">
        <f>입력값!$B$69*(1+입력값!$B$70)^(S4-1)</f>
        <v/>
      </c>
      <c r="T8" s="13">
        <f>입력값!$B$69*(1+입력값!$B$70)^(T4-1)</f>
        <v/>
      </c>
      <c r="U8" s="13">
        <f>입력값!$B$69*(1+입력값!$B$70)^(U4-1)</f>
        <v/>
      </c>
      <c r="V8" s="13">
        <f>입력값!$B$69*(1+입력값!$B$70)^(V4-1)</f>
        <v/>
      </c>
      <c r="W8" s="13">
        <f>입력값!$B$69*(1+입력값!$B$70)^(W4-1)</f>
        <v/>
      </c>
      <c r="X8" s="13">
        <f>입력값!$B$69*(1+입력값!$B$70)^(X4-1)</f>
        <v/>
      </c>
      <c r="Y8" s="13">
        <f>입력값!$B$69*(1+입력값!$B$70)^(Y4-1)</f>
        <v/>
      </c>
      <c r="Z8" s="13">
        <f>입력값!$B$69*(1+입력값!$B$70)^(Z4-1)</f>
        <v/>
      </c>
      <c r="AA8" s="13">
        <f>입력값!$B$69*(1+입력값!$B$70)^(AA4-1)</f>
        <v/>
      </c>
      <c r="AB8" s="13">
        <f>입력값!$B$69*(1+입력값!$B$70)^(AB4-1)</f>
        <v/>
      </c>
      <c r="AC8" s="13">
        <f>입력값!$B$69*(1+입력값!$B$70)^(AC4-1)</f>
        <v/>
      </c>
      <c r="AD8" s="13">
        <f>입력값!$B$69*(1+입력값!$B$70)^(AD4-1)</f>
        <v/>
      </c>
      <c r="AE8" s="13">
        <f>입력값!$B$69*(1+입력값!$B$70)^(AE4-1)</f>
        <v/>
      </c>
      <c r="AF8" s="13">
        <f>입력값!$B$69*(1+입력값!$B$70)^(AF4-1)</f>
        <v/>
      </c>
      <c r="AG8" s="13">
        <f>입력값!$B$69*(1+입력값!$B$70)^(AG4-1)</f>
        <v/>
      </c>
      <c r="AH8" s="13">
        <f>입력값!$B$69*(1+입력값!$B$70)^(AH4-1)</f>
        <v/>
      </c>
      <c r="AI8" s="13">
        <f>입력값!$B$69*(1+입력값!$B$70)^(AI4-1)</f>
        <v/>
      </c>
      <c r="AJ8" s="13">
        <f>입력값!$B$69*(1+입력값!$B$70)^(AJ4-1)</f>
        <v/>
      </c>
      <c r="AK8" s="13">
        <f>입력값!$B$69*(1+입력값!$B$70)^(AK4-1)</f>
        <v/>
      </c>
      <c r="AL8" s="13">
        <f>입력값!$B$69*(1+입력값!$B$70)^(AL4-1)</f>
        <v/>
      </c>
      <c r="AM8" s="13">
        <f>입력값!$B$69*(1+입력값!$B$70)^(AM4-1)</f>
        <v/>
      </c>
      <c r="AN8" s="13">
        <f>입력값!$B$69*(1+입력값!$B$70)^(AN4-1)</f>
        <v/>
      </c>
      <c r="AO8" s="13">
        <f>입력값!$B$69*(1+입력값!$B$70)^(AO4-1)</f>
        <v/>
      </c>
      <c r="AP8" s="13">
        <f>입력값!$B$69*(1+입력값!$B$70)^(AP4-1)</f>
        <v/>
      </c>
      <c r="AQ8" s="13">
        <f>입력값!$B$69*(1+입력값!$B$70)^(AQ4-1)</f>
        <v/>
      </c>
      <c r="AR8" s="13">
        <f>입력값!$B$69*(1+입력값!$B$70)^(AR4-1)</f>
        <v/>
      </c>
      <c r="AS8" s="13">
        <f>입력값!$B$69*(1+입력값!$B$70)^(AS4-1)</f>
        <v/>
      </c>
      <c r="AT8" s="13">
        <f>입력값!$B$69*(1+입력값!$B$70)^(AT4-1)</f>
        <v/>
      </c>
      <c r="AU8" s="13">
        <f>입력값!$B$69*(1+입력값!$B$70)^(AU4-1)</f>
        <v/>
      </c>
      <c r="AV8" s="13">
        <f>입력값!$B$69*(1+입력값!$B$70)^(AV4-1)</f>
        <v/>
      </c>
      <c r="AW8" s="13">
        <f>입력값!$B$69*(1+입력값!$B$70)^(AW4-1)</f>
        <v/>
      </c>
      <c r="AX8" s="13">
        <f>입력값!$B$69*(1+입력값!$B$70)^(AX4-1)</f>
        <v/>
      </c>
      <c r="AY8" s="13">
        <f>입력값!$B$69*(1+입력값!$B$70)^(AY4-1)</f>
        <v/>
      </c>
      <c r="AZ8" s="13">
        <f>입력값!$B$69*(1+입력값!$B$70)^(AZ4-1)</f>
        <v/>
      </c>
      <c r="BA8" s="13">
        <f>입력값!$B$69*(1+입력값!$B$70)^(BA4-1)</f>
        <v/>
      </c>
      <c r="BB8" s="13">
        <f>입력값!$B$69*(1+입력값!$B$70)^(BB4-1)</f>
        <v/>
      </c>
      <c r="BC8" s="13">
        <f>입력값!$B$69*(1+입력값!$B$70)^(BC4-1)</f>
        <v/>
      </c>
      <c r="BD8" s="13">
        <f>입력값!$B$69*(1+입력값!$B$70)^(BD4-1)</f>
        <v/>
      </c>
      <c r="BE8" s="13">
        <f>입력값!$B$69*(1+입력값!$B$70)^(BE4-1)</f>
        <v/>
      </c>
      <c r="BF8" s="13">
        <f>입력값!$B$69*(1+입력값!$B$70)^(BF4-1)</f>
        <v/>
      </c>
      <c r="BG8" s="13">
        <f>입력값!$B$69*(1+입력값!$B$70)^(BG4-1)</f>
        <v/>
      </c>
      <c r="BH8" s="13">
        <f>입력값!$B$69*(1+입력값!$B$70)^(BH4-1)</f>
        <v/>
      </c>
      <c r="BI8" s="13">
        <f>입력값!$B$69*(1+입력값!$B$70)^(BI4-1)</f>
        <v/>
      </c>
      <c r="BJ8" s="13">
        <f>입력값!$B$69*(1+입력값!$B$70)^(BJ4-1)</f>
        <v/>
      </c>
    </row>
    <row r="9">
      <c r="A9" s="25" t="inlineStr">
        <is>
          <t>이탈 고객사 (셀프서브)</t>
        </is>
      </c>
      <c r="C9" s="13">
        <f>입력값!$B$68*입력값!$B$71</f>
        <v/>
      </c>
      <c r="D9" s="13">
        <f>C10*입력값!$B$71</f>
        <v/>
      </c>
      <c r="E9" s="13">
        <f>D10*입력값!$B$71</f>
        <v/>
      </c>
      <c r="F9" s="13">
        <f>E10*입력값!$B$71</f>
        <v/>
      </c>
      <c r="G9" s="13">
        <f>F10*입력값!$B$71</f>
        <v/>
      </c>
      <c r="H9" s="13">
        <f>G10*입력값!$B$71</f>
        <v/>
      </c>
      <c r="I9" s="13">
        <f>H10*입력값!$B$71</f>
        <v/>
      </c>
      <c r="J9" s="13">
        <f>I10*입력값!$B$71</f>
        <v/>
      </c>
      <c r="K9" s="13">
        <f>J10*입력값!$B$71</f>
        <v/>
      </c>
      <c r="L9" s="13">
        <f>K10*입력값!$B$71</f>
        <v/>
      </c>
      <c r="M9" s="13">
        <f>L10*입력값!$B$71</f>
        <v/>
      </c>
      <c r="N9" s="13">
        <f>M10*입력값!$B$71</f>
        <v/>
      </c>
      <c r="O9" s="13">
        <f>N10*입력값!$B$71</f>
        <v/>
      </c>
      <c r="P9" s="13">
        <f>O10*입력값!$B$71</f>
        <v/>
      </c>
      <c r="Q9" s="13">
        <f>P10*입력값!$B$71</f>
        <v/>
      </c>
      <c r="R9" s="13">
        <f>Q10*입력값!$B$71</f>
        <v/>
      </c>
      <c r="S9" s="13">
        <f>R10*입력값!$B$71</f>
        <v/>
      </c>
      <c r="T9" s="13">
        <f>S10*입력값!$B$71</f>
        <v/>
      </c>
      <c r="U9" s="13">
        <f>T10*입력값!$B$71</f>
        <v/>
      </c>
      <c r="V9" s="13">
        <f>U10*입력값!$B$71</f>
        <v/>
      </c>
      <c r="W9" s="13">
        <f>V10*입력값!$B$71</f>
        <v/>
      </c>
      <c r="X9" s="13">
        <f>W10*입력값!$B$71</f>
        <v/>
      </c>
      <c r="Y9" s="13">
        <f>X10*입력값!$B$71</f>
        <v/>
      </c>
      <c r="Z9" s="13">
        <f>Y10*입력값!$B$71</f>
        <v/>
      </c>
      <c r="AA9" s="13">
        <f>Z10*입력값!$B$71</f>
        <v/>
      </c>
      <c r="AB9" s="13">
        <f>AA10*입력값!$B$71</f>
        <v/>
      </c>
      <c r="AC9" s="13">
        <f>AB10*입력값!$B$71</f>
        <v/>
      </c>
      <c r="AD9" s="13">
        <f>AC10*입력값!$B$71</f>
        <v/>
      </c>
      <c r="AE9" s="13">
        <f>AD10*입력값!$B$71</f>
        <v/>
      </c>
      <c r="AF9" s="13">
        <f>AE10*입력값!$B$71</f>
        <v/>
      </c>
      <c r="AG9" s="13">
        <f>AF10*입력값!$B$71</f>
        <v/>
      </c>
      <c r="AH9" s="13">
        <f>AG10*입력값!$B$71</f>
        <v/>
      </c>
      <c r="AI9" s="13">
        <f>AH10*입력값!$B$71</f>
        <v/>
      </c>
      <c r="AJ9" s="13">
        <f>AI10*입력값!$B$71</f>
        <v/>
      </c>
      <c r="AK9" s="13">
        <f>AJ10*입력값!$B$71</f>
        <v/>
      </c>
      <c r="AL9" s="13">
        <f>AK10*입력값!$B$71</f>
        <v/>
      </c>
      <c r="AM9" s="13">
        <f>AL10*입력값!$B$71</f>
        <v/>
      </c>
      <c r="AN9" s="13">
        <f>AM10*입력값!$B$71</f>
        <v/>
      </c>
      <c r="AO9" s="13">
        <f>AN10*입력값!$B$71</f>
        <v/>
      </c>
      <c r="AP9" s="13">
        <f>AO10*입력값!$B$71</f>
        <v/>
      </c>
      <c r="AQ9" s="13">
        <f>AP10*입력값!$B$71</f>
        <v/>
      </c>
      <c r="AR9" s="13">
        <f>AQ10*입력값!$B$71</f>
        <v/>
      </c>
      <c r="AS9" s="13">
        <f>AR10*입력값!$B$71</f>
        <v/>
      </c>
      <c r="AT9" s="13">
        <f>AS10*입력값!$B$71</f>
        <v/>
      </c>
      <c r="AU9" s="13">
        <f>AT10*입력값!$B$71</f>
        <v/>
      </c>
      <c r="AV9" s="13">
        <f>AU10*입력값!$B$71</f>
        <v/>
      </c>
      <c r="AW9" s="13">
        <f>AV10*입력값!$B$71</f>
        <v/>
      </c>
      <c r="AX9" s="13">
        <f>AW10*입력값!$B$71</f>
        <v/>
      </c>
      <c r="AY9" s="13">
        <f>AX10*입력값!$B$71</f>
        <v/>
      </c>
      <c r="AZ9" s="13">
        <f>AY10*입력값!$B$71</f>
        <v/>
      </c>
      <c r="BA9" s="13">
        <f>AZ10*입력값!$B$71</f>
        <v/>
      </c>
      <c r="BB9" s="13">
        <f>BA10*입력값!$B$71</f>
        <v/>
      </c>
      <c r="BC9" s="13">
        <f>BB10*입력값!$B$71</f>
        <v/>
      </c>
      <c r="BD9" s="13">
        <f>BC10*입력값!$B$71</f>
        <v/>
      </c>
      <c r="BE9" s="13">
        <f>BD10*입력값!$B$71</f>
        <v/>
      </c>
      <c r="BF9" s="13">
        <f>BE10*입력값!$B$71</f>
        <v/>
      </c>
      <c r="BG9" s="13">
        <f>BF10*입력값!$B$71</f>
        <v/>
      </c>
      <c r="BH9" s="13">
        <f>BG10*입력값!$B$71</f>
        <v/>
      </c>
      <c r="BI9" s="13">
        <f>BH10*입력값!$B$71</f>
        <v/>
      </c>
      <c r="BJ9" s="13">
        <f>BI10*입력값!$B$71</f>
        <v/>
      </c>
    </row>
    <row r="10">
      <c r="A10" s="8" t="inlineStr">
        <is>
          <t>기말 고객사 수 (셀프서브)</t>
        </is>
      </c>
      <c r="C10" s="36">
        <f>입력값!$B$68-C9+C8</f>
        <v/>
      </c>
      <c r="D10" s="36">
        <f>C10-D9+D8</f>
        <v/>
      </c>
      <c r="E10" s="36">
        <f>D10-E9+E8</f>
        <v/>
      </c>
      <c r="F10" s="36">
        <f>E10-F9+F8</f>
        <v/>
      </c>
      <c r="G10" s="36">
        <f>F10-G9+G8</f>
        <v/>
      </c>
      <c r="H10" s="36">
        <f>G10-H9+H8</f>
        <v/>
      </c>
      <c r="I10" s="36">
        <f>H10-I9+I8</f>
        <v/>
      </c>
      <c r="J10" s="36">
        <f>I10-J9+J8</f>
        <v/>
      </c>
      <c r="K10" s="36">
        <f>J10-K9+K8</f>
        <v/>
      </c>
      <c r="L10" s="36">
        <f>K10-L9+L8</f>
        <v/>
      </c>
      <c r="M10" s="36">
        <f>L10-M9+M8</f>
        <v/>
      </c>
      <c r="N10" s="36">
        <f>M10-N9+N8</f>
        <v/>
      </c>
      <c r="O10" s="36">
        <f>N10-O9+O8</f>
        <v/>
      </c>
      <c r="P10" s="36">
        <f>O10-P9+P8</f>
        <v/>
      </c>
      <c r="Q10" s="36">
        <f>P10-Q9+Q8</f>
        <v/>
      </c>
      <c r="R10" s="36">
        <f>Q10-R9+R8</f>
        <v/>
      </c>
      <c r="S10" s="36">
        <f>R10-S9+S8</f>
        <v/>
      </c>
      <c r="T10" s="36">
        <f>S10-T9+T8</f>
        <v/>
      </c>
      <c r="U10" s="36">
        <f>T10-U9+U8</f>
        <v/>
      </c>
      <c r="V10" s="36">
        <f>U10-V9+V8</f>
        <v/>
      </c>
      <c r="W10" s="36">
        <f>V10-W9+W8</f>
        <v/>
      </c>
      <c r="X10" s="36">
        <f>W10-X9+X8</f>
        <v/>
      </c>
      <c r="Y10" s="36">
        <f>X10-Y9+Y8</f>
        <v/>
      </c>
      <c r="Z10" s="36">
        <f>Y10-Z9+Z8</f>
        <v/>
      </c>
      <c r="AA10" s="36">
        <f>Z10-AA9+AA8</f>
        <v/>
      </c>
      <c r="AB10" s="36">
        <f>AA10-AB9+AB8</f>
        <v/>
      </c>
      <c r="AC10" s="36">
        <f>AB10-AC9+AC8</f>
        <v/>
      </c>
      <c r="AD10" s="36">
        <f>AC10-AD9+AD8</f>
        <v/>
      </c>
      <c r="AE10" s="36">
        <f>AD10-AE9+AE8</f>
        <v/>
      </c>
      <c r="AF10" s="36">
        <f>AE10-AF9+AF8</f>
        <v/>
      </c>
      <c r="AG10" s="36">
        <f>AF10-AG9+AG8</f>
        <v/>
      </c>
      <c r="AH10" s="36">
        <f>AG10-AH9+AH8</f>
        <v/>
      </c>
      <c r="AI10" s="36">
        <f>AH10-AI9+AI8</f>
        <v/>
      </c>
      <c r="AJ10" s="36">
        <f>AI10-AJ9+AJ8</f>
        <v/>
      </c>
      <c r="AK10" s="36">
        <f>AJ10-AK9+AK8</f>
        <v/>
      </c>
      <c r="AL10" s="36">
        <f>AK10-AL9+AL8</f>
        <v/>
      </c>
      <c r="AM10" s="36">
        <f>AL10-AM9+AM8</f>
        <v/>
      </c>
      <c r="AN10" s="36">
        <f>AM10-AN9+AN8</f>
        <v/>
      </c>
      <c r="AO10" s="36">
        <f>AN10-AO9+AO8</f>
        <v/>
      </c>
      <c r="AP10" s="36">
        <f>AO10-AP9+AP8</f>
        <v/>
      </c>
      <c r="AQ10" s="36">
        <f>AP10-AQ9+AQ8</f>
        <v/>
      </c>
      <c r="AR10" s="36">
        <f>AQ10-AR9+AR8</f>
        <v/>
      </c>
      <c r="AS10" s="36">
        <f>AR10-AS9+AS8</f>
        <v/>
      </c>
      <c r="AT10" s="36">
        <f>AS10-AT9+AT8</f>
        <v/>
      </c>
      <c r="AU10" s="36">
        <f>AT10-AU9+AU8</f>
        <v/>
      </c>
      <c r="AV10" s="36">
        <f>AU10-AV9+AV8</f>
        <v/>
      </c>
      <c r="AW10" s="36">
        <f>AV10-AW9+AW8</f>
        <v/>
      </c>
      <c r="AX10" s="36">
        <f>AW10-AX9+AX8</f>
        <v/>
      </c>
      <c r="AY10" s="36">
        <f>AX10-AY9+AY8</f>
        <v/>
      </c>
      <c r="AZ10" s="36">
        <f>AY10-AZ9+AZ8</f>
        <v/>
      </c>
      <c r="BA10" s="36">
        <f>AZ10-BA9+BA8</f>
        <v/>
      </c>
      <c r="BB10" s="36">
        <f>BA10-BB9+BB8</f>
        <v/>
      </c>
      <c r="BC10" s="36">
        <f>BB10-BC9+BC8</f>
        <v/>
      </c>
      <c r="BD10" s="36">
        <f>BC10-BD9+BD8</f>
        <v/>
      </c>
      <c r="BE10" s="36">
        <f>BD10-BE9+BE8</f>
        <v/>
      </c>
      <c r="BF10" s="36">
        <f>BE10-BF9+BF8</f>
        <v/>
      </c>
      <c r="BG10" s="36">
        <f>BF10-BG9+BG8</f>
        <v/>
      </c>
      <c r="BH10" s="36">
        <f>BG10-BH9+BH8</f>
        <v/>
      </c>
      <c r="BI10" s="36">
        <f>BH10-BI9+BI8</f>
        <v/>
      </c>
      <c r="BJ10" s="36">
        <f>BI10-BJ9+BJ8</f>
        <v/>
      </c>
    </row>
    <row r="11">
      <c r="A11" s="25" t="inlineStr">
        <is>
          <t>Enterprise 고객사 수</t>
        </is>
      </c>
      <c r="C11" s="21">
        <f>COUNTIFS(입력값!$B$113:$B$117,"&lt;="&amp;C4,입력값!$B$113:$B$117,"&gt;0")</f>
        <v/>
      </c>
      <c r="D11" s="21">
        <f>COUNTIFS(입력값!$B$113:$B$117,"&lt;="&amp;D4,입력값!$B$113:$B$117,"&gt;0")</f>
        <v/>
      </c>
      <c r="E11" s="21">
        <f>COUNTIFS(입력값!$B$113:$B$117,"&lt;="&amp;E4,입력값!$B$113:$B$117,"&gt;0")</f>
        <v/>
      </c>
      <c r="F11" s="21">
        <f>COUNTIFS(입력값!$B$113:$B$117,"&lt;="&amp;F4,입력값!$B$113:$B$117,"&gt;0")</f>
        <v/>
      </c>
      <c r="G11" s="21">
        <f>COUNTIFS(입력값!$B$113:$B$117,"&lt;="&amp;G4,입력값!$B$113:$B$117,"&gt;0")</f>
        <v/>
      </c>
      <c r="H11" s="21">
        <f>COUNTIFS(입력값!$B$113:$B$117,"&lt;="&amp;H4,입력값!$B$113:$B$117,"&gt;0")</f>
        <v/>
      </c>
      <c r="I11" s="21">
        <f>COUNTIFS(입력값!$B$113:$B$117,"&lt;="&amp;I4,입력값!$B$113:$B$117,"&gt;0")</f>
        <v/>
      </c>
      <c r="J11" s="21">
        <f>COUNTIFS(입력값!$B$113:$B$117,"&lt;="&amp;J4,입력값!$B$113:$B$117,"&gt;0")</f>
        <v/>
      </c>
      <c r="K11" s="21">
        <f>COUNTIFS(입력값!$B$113:$B$117,"&lt;="&amp;K4,입력값!$B$113:$B$117,"&gt;0")</f>
        <v/>
      </c>
      <c r="L11" s="21">
        <f>COUNTIFS(입력값!$B$113:$B$117,"&lt;="&amp;L4,입력값!$B$113:$B$117,"&gt;0")</f>
        <v/>
      </c>
      <c r="M11" s="21">
        <f>COUNTIFS(입력값!$B$113:$B$117,"&lt;="&amp;M4,입력값!$B$113:$B$117,"&gt;0")</f>
        <v/>
      </c>
      <c r="N11" s="21">
        <f>COUNTIFS(입력값!$B$113:$B$117,"&lt;="&amp;N4,입력값!$B$113:$B$117,"&gt;0")</f>
        <v/>
      </c>
      <c r="O11" s="21">
        <f>COUNTIFS(입력값!$B$113:$B$117,"&lt;="&amp;O4,입력값!$B$113:$B$117,"&gt;0")</f>
        <v/>
      </c>
      <c r="P11" s="21">
        <f>COUNTIFS(입력값!$B$113:$B$117,"&lt;="&amp;P4,입력값!$B$113:$B$117,"&gt;0")</f>
        <v/>
      </c>
      <c r="Q11" s="21">
        <f>COUNTIFS(입력값!$B$113:$B$117,"&lt;="&amp;Q4,입력값!$B$113:$B$117,"&gt;0")</f>
        <v/>
      </c>
      <c r="R11" s="21">
        <f>COUNTIFS(입력값!$B$113:$B$117,"&lt;="&amp;R4,입력값!$B$113:$B$117,"&gt;0")</f>
        <v/>
      </c>
      <c r="S11" s="21">
        <f>COUNTIFS(입력값!$B$113:$B$117,"&lt;="&amp;S4,입력값!$B$113:$B$117,"&gt;0")</f>
        <v/>
      </c>
      <c r="T11" s="21">
        <f>COUNTIFS(입력값!$B$113:$B$117,"&lt;="&amp;T4,입력값!$B$113:$B$117,"&gt;0")</f>
        <v/>
      </c>
      <c r="U11" s="21">
        <f>COUNTIFS(입력값!$B$113:$B$117,"&lt;="&amp;U4,입력값!$B$113:$B$117,"&gt;0")</f>
        <v/>
      </c>
      <c r="V11" s="21">
        <f>COUNTIFS(입력값!$B$113:$B$117,"&lt;="&amp;V4,입력값!$B$113:$B$117,"&gt;0")</f>
        <v/>
      </c>
      <c r="W11" s="21">
        <f>COUNTIFS(입력값!$B$113:$B$117,"&lt;="&amp;W4,입력값!$B$113:$B$117,"&gt;0")</f>
        <v/>
      </c>
      <c r="X11" s="21">
        <f>COUNTIFS(입력값!$B$113:$B$117,"&lt;="&amp;X4,입력값!$B$113:$B$117,"&gt;0")</f>
        <v/>
      </c>
      <c r="Y11" s="21">
        <f>COUNTIFS(입력값!$B$113:$B$117,"&lt;="&amp;Y4,입력값!$B$113:$B$117,"&gt;0")</f>
        <v/>
      </c>
      <c r="Z11" s="21">
        <f>COUNTIFS(입력값!$B$113:$B$117,"&lt;="&amp;Z4,입력값!$B$113:$B$117,"&gt;0")</f>
        <v/>
      </c>
      <c r="AA11" s="21">
        <f>COUNTIFS(입력값!$B$113:$B$117,"&lt;="&amp;AA4,입력값!$B$113:$B$117,"&gt;0")</f>
        <v/>
      </c>
      <c r="AB11" s="21">
        <f>COUNTIFS(입력값!$B$113:$B$117,"&lt;="&amp;AB4,입력값!$B$113:$B$117,"&gt;0")</f>
        <v/>
      </c>
      <c r="AC11" s="21">
        <f>COUNTIFS(입력값!$B$113:$B$117,"&lt;="&amp;AC4,입력값!$B$113:$B$117,"&gt;0")</f>
        <v/>
      </c>
      <c r="AD11" s="21">
        <f>COUNTIFS(입력값!$B$113:$B$117,"&lt;="&amp;AD4,입력값!$B$113:$B$117,"&gt;0")</f>
        <v/>
      </c>
      <c r="AE11" s="21">
        <f>COUNTIFS(입력값!$B$113:$B$117,"&lt;="&amp;AE4,입력값!$B$113:$B$117,"&gt;0")</f>
        <v/>
      </c>
      <c r="AF11" s="21">
        <f>COUNTIFS(입력값!$B$113:$B$117,"&lt;="&amp;AF4,입력값!$B$113:$B$117,"&gt;0")</f>
        <v/>
      </c>
      <c r="AG11" s="21">
        <f>COUNTIFS(입력값!$B$113:$B$117,"&lt;="&amp;AG4,입력값!$B$113:$B$117,"&gt;0")</f>
        <v/>
      </c>
      <c r="AH11" s="21">
        <f>COUNTIFS(입력값!$B$113:$B$117,"&lt;="&amp;AH4,입력값!$B$113:$B$117,"&gt;0")</f>
        <v/>
      </c>
      <c r="AI11" s="21">
        <f>COUNTIFS(입력값!$B$113:$B$117,"&lt;="&amp;AI4,입력값!$B$113:$B$117,"&gt;0")</f>
        <v/>
      </c>
      <c r="AJ11" s="21">
        <f>COUNTIFS(입력값!$B$113:$B$117,"&lt;="&amp;AJ4,입력값!$B$113:$B$117,"&gt;0")</f>
        <v/>
      </c>
      <c r="AK11" s="21">
        <f>COUNTIFS(입력값!$B$113:$B$117,"&lt;="&amp;AK4,입력값!$B$113:$B$117,"&gt;0")</f>
        <v/>
      </c>
      <c r="AL11" s="21">
        <f>COUNTIFS(입력값!$B$113:$B$117,"&lt;="&amp;AL4,입력값!$B$113:$B$117,"&gt;0")</f>
        <v/>
      </c>
      <c r="AM11" s="21">
        <f>COUNTIFS(입력값!$B$113:$B$117,"&lt;="&amp;AM4,입력값!$B$113:$B$117,"&gt;0")</f>
        <v/>
      </c>
      <c r="AN11" s="21">
        <f>COUNTIFS(입력값!$B$113:$B$117,"&lt;="&amp;AN4,입력값!$B$113:$B$117,"&gt;0")</f>
        <v/>
      </c>
      <c r="AO11" s="21">
        <f>COUNTIFS(입력값!$B$113:$B$117,"&lt;="&amp;AO4,입력값!$B$113:$B$117,"&gt;0")</f>
        <v/>
      </c>
      <c r="AP11" s="21">
        <f>COUNTIFS(입력값!$B$113:$B$117,"&lt;="&amp;AP4,입력값!$B$113:$B$117,"&gt;0")</f>
        <v/>
      </c>
      <c r="AQ11" s="21">
        <f>COUNTIFS(입력값!$B$113:$B$117,"&lt;="&amp;AQ4,입력값!$B$113:$B$117,"&gt;0")</f>
        <v/>
      </c>
      <c r="AR11" s="21">
        <f>COUNTIFS(입력값!$B$113:$B$117,"&lt;="&amp;AR4,입력값!$B$113:$B$117,"&gt;0")</f>
        <v/>
      </c>
      <c r="AS11" s="21">
        <f>COUNTIFS(입력값!$B$113:$B$117,"&lt;="&amp;AS4,입력값!$B$113:$B$117,"&gt;0")</f>
        <v/>
      </c>
      <c r="AT11" s="21">
        <f>COUNTIFS(입력값!$B$113:$B$117,"&lt;="&amp;AT4,입력값!$B$113:$B$117,"&gt;0")</f>
        <v/>
      </c>
      <c r="AU11" s="21">
        <f>COUNTIFS(입력값!$B$113:$B$117,"&lt;="&amp;AU4,입력값!$B$113:$B$117,"&gt;0")</f>
        <v/>
      </c>
      <c r="AV11" s="21">
        <f>COUNTIFS(입력값!$B$113:$B$117,"&lt;="&amp;AV4,입력값!$B$113:$B$117,"&gt;0")</f>
        <v/>
      </c>
      <c r="AW11" s="21">
        <f>COUNTIFS(입력값!$B$113:$B$117,"&lt;="&amp;AW4,입력값!$B$113:$B$117,"&gt;0")</f>
        <v/>
      </c>
      <c r="AX11" s="21">
        <f>COUNTIFS(입력값!$B$113:$B$117,"&lt;="&amp;AX4,입력값!$B$113:$B$117,"&gt;0")</f>
        <v/>
      </c>
      <c r="AY11" s="21">
        <f>COUNTIFS(입력값!$B$113:$B$117,"&lt;="&amp;AY4,입력값!$B$113:$B$117,"&gt;0")</f>
        <v/>
      </c>
      <c r="AZ11" s="21">
        <f>COUNTIFS(입력값!$B$113:$B$117,"&lt;="&amp;AZ4,입력값!$B$113:$B$117,"&gt;0")</f>
        <v/>
      </c>
      <c r="BA11" s="21">
        <f>COUNTIFS(입력값!$B$113:$B$117,"&lt;="&amp;BA4,입력값!$B$113:$B$117,"&gt;0")</f>
        <v/>
      </c>
      <c r="BB11" s="21">
        <f>COUNTIFS(입력값!$B$113:$B$117,"&lt;="&amp;BB4,입력값!$B$113:$B$117,"&gt;0")</f>
        <v/>
      </c>
      <c r="BC11" s="21">
        <f>COUNTIFS(입력값!$B$113:$B$117,"&lt;="&amp;BC4,입력값!$B$113:$B$117,"&gt;0")</f>
        <v/>
      </c>
      <c r="BD11" s="21">
        <f>COUNTIFS(입력값!$B$113:$B$117,"&lt;="&amp;BD4,입력값!$B$113:$B$117,"&gt;0")</f>
        <v/>
      </c>
      <c r="BE11" s="21">
        <f>COUNTIFS(입력값!$B$113:$B$117,"&lt;="&amp;BE4,입력값!$B$113:$B$117,"&gt;0")</f>
        <v/>
      </c>
      <c r="BF11" s="21">
        <f>COUNTIFS(입력값!$B$113:$B$117,"&lt;="&amp;BF4,입력값!$B$113:$B$117,"&gt;0")</f>
        <v/>
      </c>
      <c r="BG11" s="21">
        <f>COUNTIFS(입력값!$B$113:$B$117,"&lt;="&amp;BG4,입력값!$B$113:$B$117,"&gt;0")</f>
        <v/>
      </c>
      <c r="BH11" s="21">
        <f>COUNTIFS(입력값!$B$113:$B$117,"&lt;="&amp;BH4,입력값!$B$113:$B$117,"&gt;0")</f>
        <v/>
      </c>
      <c r="BI11" s="21">
        <f>COUNTIFS(입력값!$B$113:$B$117,"&lt;="&amp;BI4,입력값!$B$113:$B$117,"&gt;0")</f>
        <v/>
      </c>
      <c r="BJ11" s="21">
        <f>COUNTIFS(입력값!$B$113:$B$117,"&lt;="&amp;BJ4,입력값!$B$113:$B$117,"&gt;0")</f>
        <v/>
      </c>
    </row>
    <row r="12">
      <c r="A12" s="25" t="inlineStr">
        <is>
          <t>Enterprise 신규 계약</t>
        </is>
      </c>
      <c r="C12" s="21">
        <f>COUNTIF(입력값!$B$113:$B$117,C4)</f>
        <v/>
      </c>
      <c r="D12" s="21">
        <f>COUNTIF(입력값!$B$113:$B$117,D4)</f>
        <v/>
      </c>
      <c r="E12" s="21">
        <f>COUNTIF(입력값!$B$113:$B$117,E4)</f>
        <v/>
      </c>
      <c r="F12" s="21">
        <f>COUNTIF(입력값!$B$113:$B$117,F4)</f>
        <v/>
      </c>
      <c r="G12" s="21">
        <f>COUNTIF(입력값!$B$113:$B$117,G4)</f>
        <v/>
      </c>
      <c r="H12" s="21">
        <f>COUNTIF(입력값!$B$113:$B$117,H4)</f>
        <v/>
      </c>
      <c r="I12" s="21">
        <f>COUNTIF(입력값!$B$113:$B$117,I4)</f>
        <v/>
      </c>
      <c r="J12" s="21">
        <f>COUNTIF(입력값!$B$113:$B$117,J4)</f>
        <v/>
      </c>
      <c r="K12" s="21">
        <f>COUNTIF(입력값!$B$113:$B$117,K4)</f>
        <v/>
      </c>
      <c r="L12" s="21">
        <f>COUNTIF(입력값!$B$113:$B$117,L4)</f>
        <v/>
      </c>
      <c r="M12" s="21">
        <f>COUNTIF(입력값!$B$113:$B$117,M4)</f>
        <v/>
      </c>
      <c r="N12" s="21">
        <f>COUNTIF(입력값!$B$113:$B$117,N4)</f>
        <v/>
      </c>
      <c r="O12" s="21">
        <f>COUNTIF(입력값!$B$113:$B$117,O4)</f>
        <v/>
      </c>
      <c r="P12" s="21">
        <f>COUNTIF(입력값!$B$113:$B$117,P4)</f>
        <v/>
      </c>
      <c r="Q12" s="21">
        <f>COUNTIF(입력값!$B$113:$B$117,Q4)</f>
        <v/>
      </c>
      <c r="R12" s="21">
        <f>COUNTIF(입력값!$B$113:$B$117,R4)</f>
        <v/>
      </c>
      <c r="S12" s="21">
        <f>COUNTIF(입력값!$B$113:$B$117,S4)</f>
        <v/>
      </c>
      <c r="T12" s="21">
        <f>COUNTIF(입력값!$B$113:$B$117,T4)</f>
        <v/>
      </c>
      <c r="U12" s="21">
        <f>COUNTIF(입력값!$B$113:$B$117,U4)</f>
        <v/>
      </c>
      <c r="V12" s="21">
        <f>COUNTIF(입력값!$B$113:$B$117,V4)</f>
        <v/>
      </c>
      <c r="W12" s="21">
        <f>COUNTIF(입력값!$B$113:$B$117,W4)</f>
        <v/>
      </c>
      <c r="X12" s="21">
        <f>COUNTIF(입력값!$B$113:$B$117,X4)</f>
        <v/>
      </c>
      <c r="Y12" s="21">
        <f>COUNTIF(입력값!$B$113:$B$117,Y4)</f>
        <v/>
      </c>
      <c r="Z12" s="21">
        <f>COUNTIF(입력값!$B$113:$B$117,Z4)</f>
        <v/>
      </c>
      <c r="AA12" s="21">
        <f>COUNTIF(입력값!$B$113:$B$117,AA4)</f>
        <v/>
      </c>
      <c r="AB12" s="21">
        <f>COUNTIF(입력값!$B$113:$B$117,AB4)</f>
        <v/>
      </c>
      <c r="AC12" s="21">
        <f>COUNTIF(입력값!$B$113:$B$117,AC4)</f>
        <v/>
      </c>
      <c r="AD12" s="21">
        <f>COUNTIF(입력값!$B$113:$B$117,AD4)</f>
        <v/>
      </c>
      <c r="AE12" s="21">
        <f>COUNTIF(입력값!$B$113:$B$117,AE4)</f>
        <v/>
      </c>
      <c r="AF12" s="21">
        <f>COUNTIF(입력값!$B$113:$B$117,AF4)</f>
        <v/>
      </c>
      <c r="AG12" s="21">
        <f>COUNTIF(입력값!$B$113:$B$117,AG4)</f>
        <v/>
      </c>
      <c r="AH12" s="21">
        <f>COUNTIF(입력값!$B$113:$B$117,AH4)</f>
        <v/>
      </c>
      <c r="AI12" s="21">
        <f>COUNTIF(입력값!$B$113:$B$117,AI4)</f>
        <v/>
      </c>
      <c r="AJ12" s="21">
        <f>COUNTIF(입력값!$B$113:$B$117,AJ4)</f>
        <v/>
      </c>
      <c r="AK12" s="21">
        <f>COUNTIF(입력값!$B$113:$B$117,AK4)</f>
        <v/>
      </c>
      <c r="AL12" s="21">
        <f>COUNTIF(입력값!$B$113:$B$117,AL4)</f>
        <v/>
      </c>
      <c r="AM12" s="21">
        <f>COUNTIF(입력값!$B$113:$B$117,AM4)</f>
        <v/>
      </c>
      <c r="AN12" s="21">
        <f>COUNTIF(입력값!$B$113:$B$117,AN4)</f>
        <v/>
      </c>
      <c r="AO12" s="21">
        <f>COUNTIF(입력값!$B$113:$B$117,AO4)</f>
        <v/>
      </c>
      <c r="AP12" s="21">
        <f>COUNTIF(입력값!$B$113:$B$117,AP4)</f>
        <v/>
      </c>
      <c r="AQ12" s="21">
        <f>COUNTIF(입력값!$B$113:$B$117,AQ4)</f>
        <v/>
      </c>
      <c r="AR12" s="21">
        <f>COUNTIF(입력값!$B$113:$B$117,AR4)</f>
        <v/>
      </c>
      <c r="AS12" s="21">
        <f>COUNTIF(입력값!$B$113:$B$117,AS4)</f>
        <v/>
      </c>
      <c r="AT12" s="21">
        <f>COUNTIF(입력값!$B$113:$B$117,AT4)</f>
        <v/>
      </c>
      <c r="AU12" s="21">
        <f>COUNTIF(입력값!$B$113:$B$117,AU4)</f>
        <v/>
      </c>
      <c r="AV12" s="21">
        <f>COUNTIF(입력값!$B$113:$B$117,AV4)</f>
        <v/>
      </c>
      <c r="AW12" s="21">
        <f>COUNTIF(입력값!$B$113:$B$117,AW4)</f>
        <v/>
      </c>
      <c r="AX12" s="21">
        <f>COUNTIF(입력값!$B$113:$B$117,AX4)</f>
        <v/>
      </c>
      <c r="AY12" s="21">
        <f>COUNTIF(입력값!$B$113:$B$117,AY4)</f>
        <v/>
      </c>
      <c r="AZ12" s="21">
        <f>COUNTIF(입력값!$B$113:$B$117,AZ4)</f>
        <v/>
      </c>
      <c r="BA12" s="21">
        <f>COUNTIF(입력값!$B$113:$B$117,BA4)</f>
        <v/>
      </c>
      <c r="BB12" s="21">
        <f>COUNTIF(입력값!$B$113:$B$117,BB4)</f>
        <v/>
      </c>
      <c r="BC12" s="21">
        <f>COUNTIF(입력값!$B$113:$B$117,BC4)</f>
        <v/>
      </c>
      <c r="BD12" s="21">
        <f>COUNTIF(입력값!$B$113:$B$117,BD4)</f>
        <v/>
      </c>
      <c r="BE12" s="21">
        <f>COUNTIF(입력값!$B$113:$B$117,BE4)</f>
        <v/>
      </c>
      <c r="BF12" s="21">
        <f>COUNTIF(입력값!$B$113:$B$117,BF4)</f>
        <v/>
      </c>
      <c r="BG12" s="21">
        <f>COUNTIF(입력값!$B$113:$B$117,BG4)</f>
        <v/>
      </c>
      <c r="BH12" s="21">
        <f>COUNTIF(입력값!$B$113:$B$117,BH4)</f>
        <v/>
      </c>
      <c r="BI12" s="21">
        <f>COUNTIF(입력값!$B$113:$B$117,BI4)</f>
        <v/>
      </c>
      <c r="BJ12" s="21">
        <f>COUNTIF(입력값!$B$113:$B$117,BJ4)</f>
        <v/>
      </c>
    </row>
    <row r="13">
      <c r="A13" s="25" t="inlineStr">
        <is>
          <t>seat — Starter</t>
        </is>
      </c>
      <c r="C13" s="13">
        <f>C10*입력값!$B$75*입력값!$C$75</f>
        <v/>
      </c>
      <c r="D13" s="13">
        <f>D10*입력값!$B$75*입력값!$C$75</f>
        <v/>
      </c>
      <c r="E13" s="13">
        <f>E10*입력값!$B$75*입력값!$C$75</f>
        <v/>
      </c>
      <c r="F13" s="13">
        <f>F10*입력값!$B$75*입력값!$C$75</f>
        <v/>
      </c>
      <c r="G13" s="13">
        <f>G10*입력값!$B$75*입력값!$C$75</f>
        <v/>
      </c>
      <c r="H13" s="13">
        <f>H10*입력값!$B$75*입력값!$C$75</f>
        <v/>
      </c>
      <c r="I13" s="13">
        <f>I10*입력값!$B$75*입력값!$C$75</f>
        <v/>
      </c>
      <c r="J13" s="13">
        <f>J10*입력값!$B$75*입력값!$C$75</f>
        <v/>
      </c>
      <c r="K13" s="13">
        <f>K10*입력값!$B$75*입력값!$C$75</f>
        <v/>
      </c>
      <c r="L13" s="13">
        <f>L10*입력값!$B$75*입력값!$C$75</f>
        <v/>
      </c>
      <c r="M13" s="13">
        <f>M10*입력값!$B$75*입력값!$C$75</f>
        <v/>
      </c>
      <c r="N13" s="13">
        <f>N10*입력값!$B$75*입력값!$C$75</f>
        <v/>
      </c>
      <c r="O13" s="13">
        <f>O10*입력값!$B$75*입력값!$C$75</f>
        <v/>
      </c>
      <c r="P13" s="13">
        <f>P10*입력값!$B$75*입력값!$C$75</f>
        <v/>
      </c>
      <c r="Q13" s="13">
        <f>Q10*입력값!$B$75*입력값!$C$75</f>
        <v/>
      </c>
      <c r="R13" s="13">
        <f>R10*입력값!$B$75*입력값!$C$75</f>
        <v/>
      </c>
      <c r="S13" s="13">
        <f>S10*입력값!$B$75*입력값!$C$75</f>
        <v/>
      </c>
      <c r="T13" s="13">
        <f>T10*입력값!$B$75*입력값!$C$75</f>
        <v/>
      </c>
      <c r="U13" s="13">
        <f>U10*입력값!$B$75*입력값!$C$75</f>
        <v/>
      </c>
      <c r="V13" s="13">
        <f>V10*입력값!$B$75*입력값!$C$75</f>
        <v/>
      </c>
      <c r="W13" s="13">
        <f>W10*입력값!$B$75*입력값!$C$75</f>
        <v/>
      </c>
      <c r="X13" s="13">
        <f>X10*입력값!$B$75*입력값!$C$75</f>
        <v/>
      </c>
      <c r="Y13" s="13">
        <f>Y10*입력값!$B$75*입력값!$C$75</f>
        <v/>
      </c>
      <c r="Z13" s="13">
        <f>Z10*입력값!$B$75*입력값!$C$75</f>
        <v/>
      </c>
      <c r="AA13" s="13">
        <f>AA10*입력값!$B$75*입력값!$C$75</f>
        <v/>
      </c>
      <c r="AB13" s="13">
        <f>AB10*입력값!$B$75*입력값!$C$75</f>
        <v/>
      </c>
      <c r="AC13" s="13">
        <f>AC10*입력값!$B$75*입력값!$C$75</f>
        <v/>
      </c>
      <c r="AD13" s="13">
        <f>AD10*입력값!$B$75*입력값!$C$75</f>
        <v/>
      </c>
      <c r="AE13" s="13">
        <f>AE10*입력값!$B$75*입력값!$C$75</f>
        <v/>
      </c>
      <c r="AF13" s="13">
        <f>AF10*입력값!$B$75*입력값!$C$75</f>
        <v/>
      </c>
      <c r="AG13" s="13">
        <f>AG10*입력값!$B$75*입력값!$C$75</f>
        <v/>
      </c>
      <c r="AH13" s="13">
        <f>AH10*입력값!$B$75*입력값!$C$75</f>
        <v/>
      </c>
      <c r="AI13" s="13">
        <f>AI10*입력값!$B$75*입력값!$C$75</f>
        <v/>
      </c>
      <c r="AJ13" s="13">
        <f>AJ10*입력값!$B$75*입력값!$C$75</f>
        <v/>
      </c>
      <c r="AK13" s="13">
        <f>AK10*입력값!$B$75*입력값!$C$75</f>
        <v/>
      </c>
      <c r="AL13" s="13">
        <f>AL10*입력값!$B$75*입력값!$C$75</f>
        <v/>
      </c>
      <c r="AM13" s="13">
        <f>AM10*입력값!$B$75*입력값!$C$75</f>
        <v/>
      </c>
      <c r="AN13" s="13">
        <f>AN10*입력값!$B$75*입력값!$C$75</f>
        <v/>
      </c>
      <c r="AO13" s="13">
        <f>AO10*입력값!$B$75*입력값!$C$75</f>
        <v/>
      </c>
      <c r="AP13" s="13">
        <f>AP10*입력값!$B$75*입력값!$C$75</f>
        <v/>
      </c>
      <c r="AQ13" s="13">
        <f>AQ10*입력값!$B$75*입력값!$C$75</f>
        <v/>
      </c>
      <c r="AR13" s="13">
        <f>AR10*입력값!$B$75*입력값!$C$75</f>
        <v/>
      </c>
      <c r="AS13" s="13">
        <f>AS10*입력값!$B$75*입력값!$C$75</f>
        <v/>
      </c>
      <c r="AT13" s="13">
        <f>AT10*입력값!$B$75*입력값!$C$75</f>
        <v/>
      </c>
      <c r="AU13" s="13">
        <f>AU10*입력값!$B$75*입력값!$C$75</f>
        <v/>
      </c>
      <c r="AV13" s="13">
        <f>AV10*입력값!$B$75*입력값!$C$75</f>
        <v/>
      </c>
      <c r="AW13" s="13">
        <f>AW10*입력값!$B$75*입력값!$C$75</f>
        <v/>
      </c>
      <c r="AX13" s="13">
        <f>AX10*입력값!$B$75*입력값!$C$75</f>
        <v/>
      </c>
      <c r="AY13" s="13">
        <f>AY10*입력값!$B$75*입력값!$C$75</f>
        <v/>
      </c>
      <c r="AZ13" s="13">
        <f>AZ10*입력값!$B$75*입력값!$C$75</f>
        <v/>
      </c>
      <c r="BA13" s="13">
        <f>BA10*입력값!$B$75*입력값!$C$75</f>
        <v/>
      </c>
      <c r="BB13" s="13">
        <f>BB10*입력값!$B$75*입력값!$C$75</f>
        <v/>
      </c>
      <c r="BC13" s="13">
        <f>BC10*입력값!$B$75*입력값!$C$75</f>
        <v/>
      </c>
      <c r="BD13" s="13">
        <f>BD10*입력값!$B$75*입력값!$C$75</f>
        <v/>
      </c>
      <c r="BE13" s="13">
        <f>BE10*입력값!$B$75*입력값!$C$75</f>
        <v/>
      </c>
      <c r="BF13" s="13">
        <f>BF10*입력값!$B$75*입력값!$C$75</f>
        <v/>
      </c>
      <c r="BG13" s="13">
        <f>BG10*입력값!$B$75*입력값!$C$75</f>
        <v/>
      </c>
      <c r="BH13" s="13">
        <f>BH10*입력값!$B$75*입력값!$C$75</f>
        <v/>
      </c>
      <c r="BI13" s="13">
        <f>BI10*입력값!$B$75*입력값!$C$75</f>
        <v/>
      </c>
      <c r="BJ13" s="13">
        <f>BJ10*입력값!$B$75*입력값!$C$75</f>
        <v/>
      </c>
    </row>
    <row r="14">
      <c r="A14" s="25" t="inlineStr">
        <is>
          <t>seat — Growth</t>
        </is>
      </c>
      <c r="C14" s="13">
        <f>C10*입력값!$B$76*입력값!$C$76</f>
        <v/>
      </c>
      <c r="D14" s="13">
        <f>D10*입력값!$B$76*입력값!$C$76</f>
        <v/>
      </c>
      <c r="E14" s="13">
        <f>E10*입력값!$B$76*입력값!$C$76</f>
        <v/>
      </c>
      <c r="F14" s="13">
        <f>F10*입력값!$B$76*입력값!$C$76</f>
        <v/>
      </c>
      <c r="G14" s="13">
        <f>G10*입력값!$B$76*입력값!$C$76</f>
        <v/>
      </c>
      <c r="H14" s="13">
        <f>H10*입력값!$B$76*입력값!$C$76</f>
        <v/>
      </c>
      <c r="I14" s="13">
        <f>I10*입력값!$B$76*입력값!$C$76</f>
        <v/>
      </c>
      <c r="J14" s="13">
        <f>J10*입력값!$B$76*입력값!$C$76</f>
        <v/>
      </c>
      <c r="K14" s="13">
        <f>K10*입력값!$B$76*입력값!$C$76</f>
        <v/>
      </c>
      <c r="L14" s="13">
        <f>L10*입력값!$B$76*입력값!$C$76</f>
        <v/>
      </c>
      <c r="M14" s="13">
        <f>M10*입력값!$B$76*입력값!$C$76</f>
        <v/>
      </c>
      <c r="N14" s="13">
        <f>N10*입력값!$B$76*입력값!$C$76</f>
        <v/>
      </c>
      <c r="O14" s="13">
        <f>O10*입력값!$B$76*입력값!$C$76</f>
        <v/>
      </c>
      <c r="P14" s="13">
        <f>P10*입력값!$B$76*입력값!$C$76</f>
        <v/>
      </c>
      <c r="Q14" s="13">
        <f>Q10*입력값!$B$76*입력값!$C$76</f>
        <v/>
      </c>
      <c r="R14" s="13">
        <f>R10*입력값!$B$76*입력값!$C$76</f>
        <v/>
      </c>
      <c r="S14" s="13">
        <f>S10*입력값!$B$76*입력값!$C$76</f>
        <v/>
      </c>
      <c r="T14" s="13">
        <f>T10*입력값!$B$76*입력값!$C$76</f>
        <v/>
      </c>
      <c r="U14" s="13">
        <f>U10*입력값!$B$76*입력값!$C$76</f>
        <v/>
      </c>
      <c r="V14" s="13">
        <f>V10*입력값!$B$76*입력값!$C$76</f>
        <v/>
      </c>
      <c r="W14" s="13">
        <f>W10*입력값!$B$76*입력값!$C$76</f>
        <v/>
      </c>
      <c r="X14" s="13">
        <f>X10*입력값!$B$76*입력값!$C$76</f>
        <v/>
      </c>
      <c r="Y14" s="13">
        <f>Y10*입력값!$B$76*입력값!$C$76</f>
        <v/>
      </c>
      <c r="Z14" s="13">
        <f>Z10*입력값!$B$76*입력값!$C$76</f>
        <v/>
      </c>
      <c r="AA14" s="13">
        <f>AA10*입력값!$B$76*입력값!$C$76</f>
        <v/>
      </c>
      <c r="AB14" s="13">
        <f>AB10*입력값!$B$76*입력값!$C$76</f>
        <v/>
      </c>
      <c r="AC14" s="13">
        <f>AC10*입력값!$B$76*입력값!$C$76</f>
        <v/>
      </c>
      <c r="AD14" s="13">
        <f>AD10*입력값!$B$76*입력값!$C$76</f>
        <v/>
      </c>
      <c r="AE14" s="13">
        <f>AE10*입력값!$B$76*입력값!$C$76</f>
        <v/>
      </c>
      <c r="AF14" s="13">
        <f>AF10*입력값!$B$76*입력값!$C$76</f>
        <v/>
      </c>
      <c r="AG14" s="13">
        <f>AG10*입력값!$B$76*입력값!$C$76</f>
        <v/>
      </c>
      <c r="AH14" s="13">
        <f>AH10*입력값!$B$76*입력값!$C$76</f>
        <v/>
      </c>
      <c r="AI14" s="13">
        <f>AI10*입력값!$B$76*입력값!$C$76</f>
        <v/>
      </c>
      <c r="AJ14" s="13">
        <f>AJ10*입력값!$B$76*입력값!$C$76</f>
        <v/>
      </c>
      <c r="AK14" s="13">
        <f>AK10*입력값!$B$76*입력값!$C$76</f>
        <v/>
      </c>
      <c r="AL14" s="13">
        <f>AL10*입력값!$B$76*입력값!$C$76</f>
        <v/>
      </c>
      <c r="AM14" s="13">
        <f>AM10*입력값!$B$76*입력값!$C$76</f>
        <v/>
      </c>
      <c r="AN14" s="13">
        <f>AN10*입력값!$B$76*입력값!$C$76</f>
        <v/>
      </c>
      <c r="AO14" s="13">
        <f>AO10*입력값!$B$76*입력값!$C$76</f>
        <v/>
      </c>
      <c r="AP14" s="13">
        <f>AP10*입력값!$B$76*입력값!$C$76</f>
        <v/>
      </c>
      <c r="AQ14" s="13">
        <f>AQ10*입력값!$B$76*입력값!$C$76</f>
        <v/>
      </c>
      <c r="AR14" s="13">
        <f>AR10*입력값!$B$76*입력값!$C$76</f>
        <v/>
      </c>
      <c r="AS14" s="13">
        <f>AS10*입력값!$B$76*입력값!$C$76</f>
        <v/>
      </c>
      <c r="AT14" s="13">
        <f>AT10*입력값!$B$76*입력값!$C$76</f>
        <v/>
      </c>
      <c r="AU14" s="13">
        <f>AU10*입력값!$B$76*입력값!$C$76</f>
        <v/>
      </c>
      <c r="AV14" s="13">
        <f>AV10*입력값!$B$76*입력값!$C$76</f>
        <v/>
      </c>
      <c r="AW14" s="13">
        <f>AW10*입력값!$B$76*입력값!$C$76</f>
        <v/>
      </c>
      <c r="AX14" s="13">
        <f>AX10*입력값!$B$76*입력값!$C$76</f>
        <v/>
      </c>
      <c r="AY14" s="13">
        <f>AY10*입력값!$B$76*입력값!$C$76</f>
        <v/>
      </c>
      <c r="AZ14" s="13">
        <f>AZ10*입력값!$B$76*입력값!$C$76</f>
        <v/>
      </c>
      <c r="BA14" s="13">
        <f>BA10*입력값!$B$76*입력값!$C$76</f>
        <v/>
      </c>
      <c r="BB14" s="13">
        <f>BB10*입력값!$B$76*입력값!$C$76</f>
        <v/>
      </c>
      <c r="BC14" s="13">
        <f>BC10*입력값!$B$76*입력값!$C$76</f>
        <v/>
      </c>
      <c r="BD14" s="13">
        <f>BD10*입력값!$B$76*입력값!$C$76</f>
        <v/>
      </c>
      <c r="BE14" s="13">
        <f>BE10*입력값!$B$76*입력값!$C$76</f>
        <v/>
      </c>
      <c r="BF14" s="13">
        <f>BF10*입력값!$B$76*입력값!$C$76</f>
        <v/>
      </c>
      <c r="BG14" s="13">
        <f>BG10*입력값!$B$76*입력값!$C$76</f>
        <v/>
      </c>
      <c r="BH14" s="13">
        <f>BH10*입력값!$B$76*입력값!$C$76</f>
        <v/>
      </c>
      <c r="BI14" s="13">
        <f>BI10*입력값!$B$76*입력값!$C$76</f>
        <v/>
      </c>
      <c r="BJ14" s="13">
        <f>BJ10*입력값!$B$76*입력값!$C$76</f>
        <v/>
      </c>
    </row>
    <row r="15">
      <c r="A15" s="25" t="inlineStr">
        <is>
          <t>seat — Elite</t>
        </is>
      </c>
      <c r="C15" s="13">
        <f>C10*입력값!$B$77*입력값!$C$77</f>
        <v/>
      </c>
      <c r="D15" s="13">
        <f>D10*입력값!$B$77*입력값!$C$77</f>
        <v/>
      </c>
      <c r="E15" s="13">
        <f>E10*입력값!$B$77*입력값!$C$77</f>
        <v/>
      </c>
      <c r="F15" s="13">
        <f>F10*입력값!$B$77*입력값!$C$77</f>
        <v/>
      </c>
      <c r="G15" s="13">
        <f>G10*입력값!$B$77*입력값!$C$77</f>
        <v/>
      </c>
      <c r="H15" s="13">
        <f>H10*입력값!$B$77*입력값!$C$77</f>
        <v/>
      </c>
      <c r="I15" s="13">
        <f>I10*입력값!$B$77*입력값!$C$77</f>
        <v/>
      </c>
      <c r="J15" s="13">
        <f>J10*입력값!$B$77*입력값!$C$77</f>
        <v/>
      </c>
      <c r="K15" s="13">
        <f>K10*입력값!$B$77*입력값!$C$77</f>
        <v/>
      </c>
      <c r="L15" s="13">
        <f>L10*입력값!$B$77*입력값!$C$77</f>
        <v/>
      </c>
      <c r="M15" s="13">
        <f>M10*입력값!$B$77*입력값!$C$77</f>
        <v/>
      </c>
      <c r="N15" s="13">
        <f>N10*입력값!$B$77*입력값!$C$77</f>
        <v/>
      </c>
      <c r="O15" s="13">
        <f>O10*입력값!$B$77*입력값!$C$77</f>
        <v/>
      </c>
      <c r="P15" s="13">
        <f>P10*입력값!$B$77*입력값!$C$77</f>
        <v/>
      </c>
      <c r="Q15" s="13">
        <f>Q10*입력값!$B$77*입력값!$C$77</f>
        <v/>
      </c>
      <c r="R15" s="13">
        <f>R10*입력값!$B$77*입력값!$C$77</f>
        <v/>
      </c>
      <c r="S15" s="13">
        <f>S10*입력값!$B$77*입력값!$C$77</f>
        <v/>
      </c>
      <c r="T15" s="13">
        <f>T10*입력값!$B$77*입력값!$C$77</f>
        <v/>
      </c>
      <c r="U15" s="13">
        <f>U10*입력값!$B$77*입력값!$C$77</f>
        <v/>
      </c>
      <c r="V15" s="13">
        <f>V10*입력값!$B$77*입력값!$C$77</f>
        <v/>
      </c>
      <c r="W15" s="13">
        <f>W10*입력값!$B$77*입력값!$C$77</f>
        <v/>
      </c>
      <c r="X15" s="13">
        <f>X10*입력값!$B$77*입력값!$C$77</f>
        <v/>
      </c>
      <c r="Y15" s="13">
        <f>Y10*입력값!$B$77*입력값!$C$77</f>
        <v/>
      </c>
      <c r="Z15" s="13">
        <f>Z10*입력값!$B$77*입력값!$C$77</f>
        <v/>
      </c>
      <c r="AA15" s="13">
        <f>AA10*입력값!$B$77*입력값!$C$77</f>
        <v/>
      </c>
      <c r="AB15" s="13">
        <f>AB10*입력값!$B$77*입력값!$C$77</f>
        <v/>
      </c>
      <c r="AC15" s="13">
        <f>AC10*입력값!$B$77*입력값!$C$77</f>
        <v/>
      </c>
      <c r="AD15" s="13">
        <f>AD10*입력값!$B$77*입력값!$C$77</f>
        <v/>
      </c>
      <c r="AE15" s="13">
        <f>AE10*입력값!$B$77*입력값!$C$77</f>
        <v/>
      </c>
      <c r="AF15" s="13">
        <f>AF10*입력값!$B$77*입력값!$C$77</f>
        <v/>
      </c>
      <c r="AG15" s="13">
        <f>AG10*입력값!$B$77*입력값!$C$77</f>
        <v/>
      </c>
      <c r="AH15" s="13">
        <f>AH10*입력값!$B$77*입력값!$C$77</f>
        <v/>
      </c>
      <c r="AI15" s="13">
        <f>AI10*입력값!$B$77*입력값!$C$77</f>
        <v/>
      </c>
      <c r="AJ15" s="13">
        <f>AJ10*입력값!$B$77*입력값!$C$77</f>
        <v/>
      </c>
      <c r="AK15" s="13">
        <f>AK10*입력값!$B$77*입력값!$C$77</f>
        <v/>
      </c>
      <c r="AL15" s="13">
        <f>AL10*입력값!$B$77*입력값!$C$77</f>
        <v/>
      </c>
      <c r="AM15" s="13">
        <f>AM10*입력값!$B$77*입력값!$C$77</f>
        <v/>
      </c>
      <c r="AN15" s="13">
        <f>AN10*입력값!$B$77*입력값!$C$77</f>
        <v/>
      </c>
      <c r="AO15" s="13">
        <f>AO10*입력값!$B$77*입력값!$C$77</f>
        <v/>
      </c>
      <c r="AP15" s="13">
        <f>AP10*입력값!$B$77*입력값!$C$77</f>
        <v/>
      </c>
      <c r="AQ15" s="13">
        <f>AQ10*입력값!$B$77*입력값!$C$77</f>
        <v/>
      </c>
      <c r="AR15" s="13">
        <f>AR10*입력값!$B$77*입력값!$C$77</f>
        <v/>
      </c>
      <c r="AS15" s="13">
        <f>AS10*입력값!$B$77*입력값!$C$77</f>
        <v/>
      </c>
      <c r="AT15" s="13">
        <f>AT10*입력값!$B$77*입력값!$C$77</f>
        <v/>
      </c>
      <c r="AU15" s="13">
        <f>AU10*입력값!$B$77*입력값!$C$77</f>
        <v/>
      </c>
      <c r="AV15" s="13">
        <f>AV10*입력값!$B$77*입력값!$C$77</f>
        <v/>
      </c>
      <c r="AW15" s="13">
        <f>AW10*입력값!$B$77*입력값!$C$77</f>
        <v/>
      </c>
      <c r="AX15" s="13">
        <f>AX10*입력값!$B$77*입력값!$C$77</f>
        <v/>
      </c>
      <c r="AY15" s="13">
        <f>AY10*입력값!$B$77*입력값!$C$77</f>
        <v/>
      </c>
      <c r="AZ15" s="13">
        <f>AZ10*입력값!$B$77*입력값!$C$77</f>
        <v/>
      </c>
      <c r="BA15" s="13">
        <f>BA10*입력값!$B$77*입력값!$C$77</f>
        <v/>
      </c>
      <c r="BB15" s="13">
        <f>BB10*입력값!$B$77*입력값!$C$77</f>
        <v/>
      </c>
      <c r="BC15" s="13">
        <f>BC10*입력값!$B$77*입력값!$C$77</f>
        <v/>
      </c>
      <c r="BD15" s="13">
        <f>BD10*입력값!$B$77*입력값!$C$77</f>
        <v/>
      </c>
      <c r="BE15" s="13">
        <f>BE10*입력값!$B$77*입력값!$C$77</f>
        <v/>
      </c>
      <c r="BF15" s="13">
        <f>BF10*입력값!$B$77*입력값!$C$77</f>
        <v/>
      </c>
      <c r="BG15" s="13">
        <f>BG10*입력값!$B$77*입력값!$C$77</f>
        <v/>
      </c>
      <c r="BH15" s="13">
        <f>BH10*입력값!$B$77*입력값!$C$77</f>
        <v/>
      </c>
      <c r="BI15" s="13">
        <f>BI10*입력값!$B$77*입력값!$C$77</f>
        <v/>
      </c>
      <c r="BJ15" s="13">
        <f>BJ10*입력값!$B$77*입력값!$C$77</f>
        <v/>
      </c>
    </row>
    <row r="16">
      <c r="A16" s="25" t="inlineStr">
        <is>
          <t>seat — Enterprise</t>
        </is>
      </c>
      <c r="C16" s="13">
        <f>SUMIFS(입력값!$C$113:$C$117,입력값!$B$113:$B$117,"&lt;="&amp;C4,입력값!$B$113:$B$117,"&gt;0")</f>
        <v/>
      </c>
      <c r="D16" s="13">
        <f>SUMIFS(입력값!$C$113:$C$117,입력값!$B$113:$B$117,"&lt;="&amp;D4,입력값!$B$113:$B$117,"&gt;0")</f>
        <v/>
      </c>
      <c r="E16" s="13">
        <f>SUMIFS(입력값!$C$113:$C$117,입력값!$B$113:$B$117,"&lt;="&amp;E4,입력값!$B$113:$B$117,"&gt;0")</f>
        <v/>
      </c>
      <c r="F16" s="13">
        <f>SUMIFS(입력값!$C$113:$C$117,입력값!$B$113:$B$117,"&lt;="&amp;F4,입력값!$B$113:$B$117,"&gt;0")</f>
        <v/>
      </c>
      <c r="G16" s="13">
        <f>SUMIFS(입력값!$C$113:$C$117,입력값!$B$113:$B$117,"&lt;="&amp;G4,입력값!$B$113:$B$117,"&gt;0")</f>
        <v/>
      </c>
      <c r="H16" s="13">
        <f>SUMIFS(입력값!$C$113:$C$117,입력값!$B$113:$B$117,"&lt;="&amp;H4,입력값!$B$113:$B$117,"&gt;0")</f>
        <v/>
      </c>
      <c r="I16" s="13">
        <f>SUMIFS(입력값!$C$113:$C$117,입력값!$B$113:$B$117,"&lt;="&amp;I4,입력값!$B$113:$B$117,"&gt;0")</f>
        <v/>
      </c>
      <c r="J16" s="13">
        <f>SUMIFS(입력값!$C$113:$C$117,입력값!$B$113:$B$117,"&lt;="&amp;J4,입력값!$B$113:$B$117,"&gt;0")</f>
        <v/>
      </c>
      <c r="K16" s="13">
        <f>SUMIFS(입력값!$C$113:$C$117,입력값!$B$113:$B$117,"&lt;="&amp;K4,입력값!$B$113:$B$117,"&gt;0")</f>
        <v/>
      </c>
      <c r="L16" s="13">
        <f>SUMIFS(입력값!$C$113:$C$117,입력값!$B$113:$B$117,"&lt;="&amp;L4,입력값!$B$113:$B$117,"&gt;0")</f>
        <v/>
      </c>
      <c r="M16" s="13">
        <f>SUMIFS(입력값!$C$113:$C$117,입력값!$B$113:$B$117,"&lt;="&amp;M4,입력값!$B$113:$B$117,"&gt;0")</f>
        <v/>
      </c>
      <c r="N16" s="13">
        <f>SUMIFS(입력값!$C$113:$C$117,입력값!$B$113:$B$117,"&lt;="&amp;N4,입력값!$B$113:$B$117,"&gt;0")</f>
        <v/>
      </c>
      <c r="O16" s="13">
        <f>SUMIFS(입력값!$C$113:$C$117,입력값!$B$113:$B$117,"&lt;="&amp;O4,입력값!$B$113:$B$117,"&gt;0")</f>
        <v/>
      </c>
      <c r="P16" s="13">
        <f>SUMIFS(입력값!$C$113:$C$117,입력값!$B$113:$B$117,"&lt;="&amp;P4,입력값!$B$113:$B$117,"&gt;0")</f>
        <v/>
      </c>
      <c r="Q16" s="13">
        <f>SUMIFS(입력값!$C$113:$C$117,입력값!$B$113:$B$117,"&lt;="&amp;Q4,입력값!$B$113:$B$117,"&gt;0")</f>
        <v/>
      </c>
      <c r="R16" s="13">
        <f>SUMIFS(입력값!$C$113:$C$117,입력값!$B$113:$B$117,"&lt;="&amp;R4,입력값!$B$113:$B$117,"&gt;0")</f>
        <v/>
      </c>
      <c r="S16" s="13">
        <f>SUMIFS(입력값!$C$113:$C$117,입력값!$B$113:$B$117,"&lt;="&amp;S4,입력값!$B$113:$B$117,"&gt;0")</f>
        <v/>
      </c>
      <c r="T16" s="13">
        <f>SUMIFS(입력값!$C$113:$C$117,입력값!$B$113:$B$117,"&lt;="&amp;T4,입력값!$B$113:$B$117,"&gt;0")</f>
        <v/>
      </c>
      <c r="U16" s="13">
        <f>SUMIFS(입력값!$C$113:$C$117,입력값!$B$113:$B$117,"&lt;="&amp;U4,입력값!$B$113:$B$117,"&gt;0")</f>
        <v/>
      </c>
      <c r="V16" s="13">
        <f>SUMIFS(입력값!$C$113:$C$117,입력값!$B$113:$B$117,"&lt;="&amp;V4,입력값!$B$113:$B$117,"&gt;0")</f>
        <v/>
      </c>
      <c r="W16" s="13">
        <f>SUMIFS(입력값!$C$113:$C$117,입력값!$B$113:$B$117,"&lt;="&amp;W4,입력값!$B$113:$B$117,"&gt;0")</f>
        <v/>
      </c>
      <c r="X16" s="13">
        <f>SUMIFS(입력값!$C$113:$C$117,입력값!$B$113:$B$117,"&lt;="&amp;X4,입력값!$B$113:$B$117,"&gt;0")</f>
        <v/>
      </c>
      <c r="Y16" s="13">
        <f>SUMIFS(입력값!$C$113:$C$117,입력값!$B$113:$B$117,"&lt;="&amp;Y4,입력값!$B$113:$B$117,"&gt;0")</f>
        <v/>
      </c>
      <c r="Z16" s="13">
        <f>SUMIFS(입력값!$C$113:$C$117,입력값!$B$113:$B$117,"&lt;="&amp;Z4,입력값!$B$113:$B$117,"&gt;0")</f>
        <v/>
      </c>
      <c r="AA16" s="13">
        <f>SUMIFS(입력값!$C$113:$C$117,입력값!$B$113:$B$117,"&lt;="&amp;AA4,입력값!$B$113:$B$117,"&gt;0")</f>
        <v/>
      </c>
      <c r="AB16" s="13">
        <f>SUMIFS(입력값!$C$113:$C$117,입력값!$B$113:$B$117,"&lt;="&amp;AB4,입력값!$B$113:$B$117,"&gt;0")</f>
        <v/>
      </c>
      <c r="AC16" s="13">
        <f>SUMIFS(입력값!$C$113:$C$117,입력값!$B$113:$B$117,"&lt;="&amp;AC4,입력값!$B$113:$B$117,"&gt;0")</f>
        <v/>
      </c>
      <c r="AD16" s="13">
        <f>SUMIFS(입력값!$C$113:$C$117,입력값!$B$113:$B$117,"&lt;="&amp;AD4,입력값!$B$113:$B$117,"&gt;0")</f>
        <v/>
      </c>
      <c r="AE16" s="13">
        <f>SUMIFS(입력값!$C$113:$C$117,입력값!$B$113:$B$117,"&lt;="&amp;AE4,입력값!$B$113:$B$117,"&gt;0")</f>
        <v/>
      </c>
      <c r="AF16" s="13">
        <f>SUMIFS(입력값!$C$113:$C$117,입력값!$B$113:$B$117,"&lt;="&amp;AF4,입력값!$B$113:$B$117,"&gt;0")</f>
        <v/>
      </c>
      <c r="AG16" s="13">
        <f>SUMIFS(입력값!$C$113:$C$117,입력값!$B$113:$B$117,"&lt;="&amp;AG4,입력값!$B$113:$B$117,"&gt;0")</f>
        <v/>
      </c>
      <c r="AH16" s="13">
        <f>SUMIFS(입력값!$C$113:$C$117,입력값!$B$113:$B$117,"&lt;="&amp;AH4,입력값!$B$113:$B$117,"&gt;0")</f>
        <v/>
      </c>
      <c r="AI16" s="13">
        <f>SUMIFS(입력값!$C$113:$C$117,입력값!$B$113:$B$117,"&lt;="&amp;AI4,입력값!$B$113:$B$117,"&gt;0")</f>
        <v/>
      </c>
      <c r="AJ16" s="13">
        <f>SUMIFS(입력값!$C$113:$C$117,입력값!$B$113:$B$117,"&lt;="&amp;AJ4,입력값!$B$113:$B$117,"&gt;0")</f>
        <v/>
      </c>
      <c r="AK16" s="13">
        <f>SUMIFS(입력값!$C$113:$C$117,입력값!$B$113:$B$117,"&lt;="&amp;AK4,입력값!$B$113:$B$117,"&gt;0")</f>
        <v/>
      </c>
      <c r="AL16" s="13">
        <f>SUMIFS(입력값!$C$113:$C$117,입력값!$B$113:$B$117,"&lt;="&amp;AL4,입력값!$B$113:$B$117,"&gt;0")</f>
        <v/>
      </c>
      <c r="AM16" s="13">
        <f>SUMIFS(입력값!$C$113:$C$117,입력값!$B$113:$B$117,"&lt;="&amp;AM4,입력값!$B$113:$B$117,"&gt;0")</f>
        <v/>
      </c>
      <c r="AN16" s="13">
        <f>SUMIFS(입력값!$C$113:$C$117,입력값!$B$113:$B$117,"&lt;="&amp;AN4,입력값!$B$113:$B$117,"&gt;0")</f>
        <v/>
      </c>
      <c r="AO16" s="13">
        <f>SUMIFS(입력값!$C$113:$C$117,입력값!$B$113:$B$117,"&lt;="&amp;AO4,입력값!$B$113:$B$117,"&gt;0")</f>
        <v/>
      </c>
      <c r="AP16" s="13">
        <f>SUMIFS(입력값!$C$113:$C$117,입력값!$B$113:$B$117,"&lt;="&amp;AP4,입력값!$B$113:$B$117,"&gt;0")</f>
        <v/>
      </c>
      <c r="AQ16" s="13">
        <f>SUMIFS(입력값!$C$113:$C$117,입력값!$B$113:$B$117,"&lt;="&amp;AQ4,입력값!$B$113:$B$117,"&gt;0")</f>
        <v/>
      </c>
      <c r="AR16" s="13">
        <f>SUMIFS(입력값!$C$113:$C$117,입력값!$B$113:$B$117,"&lt;="&amp;AR4,입력값!$B$113:$B$117,"&gt;0")</f>
        <v/>
      </c>
      <c r="AS16" s="13">
        <f>SUMIFS(입력값!$C$113:$C$117,입력값!$B$113:$B$117,"&lt;="&amp;AS4,입력값!$B$113:$B$117,"&gt;0")</f>
        <v/>
      </c>
      <c r="AT16" s="13">
        <f>SUMIFS(입력값!$C$113:$C$117,입력값!$B$113:$B$117,"&lt;="&amp;AT4,입력값!$B$113:$B$117,"&gt;0")</f>
        <v/>
      </c>
      <c r="AU16" s="13">
        <f>SUMIFS(입력값!$C$113:$C$117,입력값!$B$113:$B$117,"&lt;="&amp;AU4,입력값!$B$113:$B$117,"&gt;0")</f>
        <v/>
      </c>
      <c r="AV16" s="13">
        <f>SUMIFS(입력값!$C$113:$C$117,입력값!$B$113:$B$117,"&lt;="&amp;AV4,입력값!$B$113:$B$117,"&gt;0")</f>
        <v/>
      </c>
      <c r="AW16" s="13">
        <f>SUMIFS(입력값!$C$113:$C$117,입력값!$B$113:$B$117,"&lt;="&amp;AW4,입력값!$B$113:$B$117,"&gt;0")</f>
        <v/>
      </c>
      <c r="AX16" s="13">
        <f>SUMIFS(입력값!$C$113:$C$117,입력값!$B$113:$B$117,"&lt;="&amp;AX4,입력값!$B$113:$B$117,"&gt;0")</f>
        <v/>
      </c>
      <c r="AY16" s="13">
        <f>SUMIFS(입력값!$C$113:$C$117,입력값!$B$113:$B$117,"&lt;="&amp;AY4,입력값!$B$113:$B$117,"&gt;0")</f>
        <v/>
      </c>
      <c r="AZ16" s="13">
        <f>SUMIFS(입력값!$C$113:$C$117,입력값!$B$113:$B$117,"&lt;="&amp;AZ4,입력값!$B$113:$B$117,"&gt;0")</f>
        <v/>
      </c>
      <c r="BA16" s="13">
        <f>SUMIFS(입력값!$C$113:$C$117,입력값!$B$113:$B$117,"&lt;="&amp;BA4,입력값!$B$113:$B$117,"&gt;0")</f>
        <v/>
      </c>
      <c r="BB16" s="13">
        <f>SUMIFS(입력값!$C$113:$C$117,입력값!$B$113:$B$117,"&lt;="&amp;BB4,입력값!$B$113:$B$117,"&gt;0")</f>
        <v/>
      </c>
      <c r="BC16" s="13">
        <f>SUMIFS(입력값!$C$113:$C$117,입력값!$B$113:$B$117,"&lt;="&amp;BC4,입력값!$B$113:$B$117,"&gt;0")</f>
        <v/>
      </c>
      <c r="BD16" s="13">
        <f>SUMIFS(입력값!$C$113:$C$117,입력값!$B$113:$B$117,"&lt;="&amp;BD4,입력값!$B$113:$B$117,"&gt;0")</f>
        <v/>
      </c>
      <c r="BE16" s="13">
        <f>SUMIFS(입력값!$C$113:$C$117,입력값!$B$113:$B$117,"&lt;="&amp;BE4,입력값!$B$113:$B$117,"&gt;0")</f>
        <v/>
      </c>
      <c r="BF16" s="13">
        <f>SUMIFS(입력값!$C$113:$C$117,입력값!$B$113:$B$117,"&lt;="&amp;BF4,입력값!$B$113:$B$117,"&gt;0")</f>
        <v/>
      </c>
      <c r="BG16" s="13">
        <f>SUMIFS(입력값!$C$113:$C$117,입력값!$B$113:$B$117,"&lt;="&amp;BG4,입력값!$B$113:$B$117,"&gt;0")</f>
        <v/>
      </c>
      <c r="BH16" s="13">
        <f>SUMIFS(입력값!$C$113:$C$117,입력값!$B$113:$B$117,"&lt;="&amp;BH4,입력값!$B$113:$B$117,"&gt;0")</f>
        <v/>
      </c>
      <c r="BI16" s="13">
        <f>SUMIFS(입력값!$C$113:$C$117,입력값!$B$113:$B$117,"&lt;="&amp;BI4,입력값!$B$113:$B$117,"&gt;0")</f>
        <v/>
      </c>
      <c r="BJ16" s="13">
        <f>SUMIFS(입력값!$C$113:$C$117,입력값!$B$113:$B$117,"&lt;="&amp;BJ4,입력값!$B$113:$B$117,"&gt;0")</f>
        <v/>
      </c>
    </row>
    <row r="17">
      <c r="A17" s="8" t="inlineStr">
        <is>
          <t>총 seat</t>
        </is>
      </c>
      <c r="C17" s="36">
        <f>SUM(C13:C16)</f>
        <v/>
      </c>
      <c r="D17" s="36">
        <f>SUM(D13:D16)</f>
        <v/>
      </c>
      <c r="E17" s="36">
        <f>SUM(E13:E16)</f>
        <v/>
      </c>
      <c r="F17" s="36">
        <f>SUM(F13:F16)</f>
        <v/>
      </c>
      <c r="G17" s="36">
        <f>SUM(G13:G16)</f>
        <v/>
      </c>
      <c r="H17" s="36">
        <f>SUM(H13:H16)</f>
        <v/>
      </c>
      <c r="I17" s="36">
        <f>SUM(I13:I16)</f>
        <v/>
      </c>
      <c r="J17" s="36">
        <f>SUM(J13:J16)</f>
        <v/>
      </c>
      <c r="K17" s="36">
        <f>SUM(K13:K16)</f>
        <v/>
      </c>
      <c r="L17" s="36">
        <f>SUM(L13:L16)</f>
        <v/>
      </c>
      <c r="M17" s="36">
        <f>SUM(M13:M16)</f>
        <v/>
      </c>
      <c r="N17" s="36">
        <f>SUM(N13:N16)</f>
        <v/>
      </c>
      <c r="O17" s="36">
        <f>SUM(O13:O16)</f>
        <v/>
      </c>
      <c r="P17" s="36">
        <f>SUM(P13:P16)</f>
        <v/>
      </c>
      <c r="Q17" s="36">
        <f>SUM(Q13:Q16)</f>
        <v/>
      </c>
      <c r="R17" s="36">
        <f>SUM(R13:R16)</f>
        <v/>
      </c>
      <c r="S17" s="36">
        <f>SUM(S13:S16)</f>
        <v/>
      </c>
      <c r="T17" s="36">
        <f>SUM(T13:T16)</f>
        <v/>
      </c>
      <c r="U17" s="36">
        <f>SUM(U13:U16)</f>
        <v/>
      </c>
      <c r="V17" s="36">
        <f>SUM(V13:V16)</f>
        <v/>
      </c>
      <c r="W17" s="36">
        <f>SUM(W13:W16)</f>
        <v/>
      </c>
      <c r="X17" s="36">
        <f>SUM(X13:X16)</f>
        <v/>
      </c>
      <c r="Y17" s="36">
        <f>SUM(Y13:Y16)</f>
        <v/>
      </c>
      <c r="Z17" s="36">
        <f>SUM(Z13:Z16)</f>
        <v/>
      </c>
      <c r="AA17" s="36">
        <f>SUM(AA13:AA16)</f>
        <v/>
      </c>
      <c r="AB17" s="36">
        <f>SUM(AB13:AB16)</f>
        <v/>
      </c>
      <c r="AC17" s="36">
        <f>SUM(AC13:AC16)</f>
        <v/>
      </c>
      <c r="AD17" s="36">
        <f>SUM(AD13:AD16)</f>
        <v/>
      </c>
      <c r="AE17" s="36">
        <f>SUM(AE13:AE16)</f>
        <v/>
      </c>
      <c r="AF17" s="36">
        <f>SUM(AF13:AF16)</f>
        <v/>
      </c>
      <c r="AG17" s="36">
        <f>SUM(AG13:AG16)</f>
        <v/>
      </c>
      <c r="AH17" s="36">
        <f>SUM(AH13:AH16)</f>
        <v/>
      </c>
      <c r="AI17" s="36">
        <f>SUM(AI13:AI16)</f>
        <v/>
      </c>
      <c r="AJ17" s="36">
        <f>SUM(AJ13:AJ16)</f>
        <v/>
      </c>
      <c r="AK17" s="36">
        <f>SUM(AK13:AK16)</f>
        <v/>
      </c>
      <c r="AL17" s="36">
        <f>SUM(AL13:AL16)</f>
        <v/>
      </c>
      <c r="AM17" s="36">
        <f>SUM(AM13:AM16)</f>
        <v/>
      </c>
      <c r="AN17" s="36">
        <f>SUM(AN13:AN16)</f>
        <v/>
      </c>
      <c r="AO17" s="36">
        <f>SUM(AO13:AO16)</f>
        <v/>
      </c>
      <c r="AP17" s="36">
        <f>SUM(AP13:AP16)</f>
        <v/>
      </c>
      <c r="AQ17" s="36">
        <f>SUM(AQ13:AQ16)</f>
        <v/>
      </c>
      <c r="AR17" s="36">
        <f>SUM(AR13:AR16)</f>
        <v/>
      </c>
      <c r="AS17" s="36">
        <f>SUM(AS13:AS16)</f>
        <v/>
      </c>
      <c r="AT17" s="36">
        <f>SUM(AT13:AT16)</f>
        <v/>
      </c>
      <c r="AU17" s="36">
        <f>SUM(AU13:AU16)</f>
        <v/>
      </c>
      <c r="AV17" s="36">
        <f>SUM(AV13:AV16)</f>
        <v/>
      </c>
      <c r="AW17" s="36">
        <f>SUM(AW13:AW16)</f>
        <v/>
      </c>
      <c r="AX17" s="36">
        <f>SUM(AX13:AX16)</f>
        <v/>
      </c>
      <c r="AY17" s="36">
        <f>SUM(AY13:AY16)</f>
        <v/>
      </c>
      <c r="AZ17" s="36">
        <f>SUM(AZ13:AZ16)</f>
        <v/>
      </c>
      <c r="BA17" s="36">
        <f>SUM(BA13:BA16)</f>
        <v/>
      </c>
      <c r="BB17" s="36">
        <f>SUM(BB13:BB16)</f>
        <v/>
      </c>
      <c r="BC17" s="36">
        <f>SUM(BC13:BC16)</f>
        <v/>
      </c>
      <c r="BD17" s="36">
        <f>SUM(BD13:BD16)</f>
        <v/>
      </c>
      <c r="BE17" s="36">
        <f>SUM(BE13:BE16)</f>
        <v/>
      </c>
      <c r="BF17" s="36">
        <f>SUM(BF13:BF16)</f>
        <v/>
      </c>
      <c r="BG17" s="36">
        <f>SUM(BG13:BG16)</f>
        <v/>
      </c>
      <c r="BH17" s="36">
        <f>SUM(BH13:BH16)</f>
        <v/>
      </c>
      <c r="BI17" s="36">
        <f>SUM(BI13:BI16)</f>
        <v/>
      </c>
      <c r="BJ17" s="36">
        <f>SUM(BJ13:BJ16)</f>
        <v/>
      </c>
    </row>
    <row r="18">
      <c r="A18" s="18" t="inlineStr">
        <is>
          <t>고객 대응 (CS)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</row>
    <row r="19">
      <c r="A19" s="25" t="inlineStr">
        <is>
          <t>필요 대응 시간 (셀프서브)</t>
        </is>
      </c>
      <c r="C19" s="40">
        <f>C10*입력값!$B$75*입력값!$B$90+C13*입력값!$B$89+C8*입력값!$B$75*입력값!$B$88+C10*입력값!$B$76*입력값!$C$90+C14*입력값!$C$89+C8*입력값!$B$76*입력값!$C$88+C10*입력값!$B$77*입력값!$D$90+C15*입력값!$D$89+C8*입력값!$B$77*입력값!$D$88</f>
        <v/>
      </c>
      <c r="D19" s="40">
        <f>D10*입력값!$B$75*입력값!$B$90+D13*입력값!$B$89+D8*입력값!$B$75*입력값!$B$88+D10*입력값!$B$76*입력값!$C$90+D14*입력값!$C$89+D8*입력값!$B$76*입력값!$C$88+D10*입력값!$B$77*입력값!$D$90+D15*입력값!$D$89+D8*입력값!$B$77*입력값!$D$88</f>
        <v/>
      </c>
      <c r="E19" s="40">
        <f>E10*입력값!$B$75*입력값!$B$90+E13*입력값!$B$89+E8*입력값!$B$75*입력값!$B$88+E10*입력값!$B$76*입력값!$C$90+E14*입력값!$C$89+E8*입력값!$B$76*입력값!$C$88+E10*입력값!$B$77*입력값!$D$90+E15*입력값!$D$89+E8*입력값!$B$77*입력값!$D$88</f>
        <v/>
      </c>
      <c r="F19" s="40">
        <f>F10*입력값!$B$75*입력값!$B$90+F13*입력값!$B$89+F8*입력값!$B$75*입력값!$B$88+F10*입력값!$B$76*입력값!$C$90+F14*입력값!$C$89+F8*입력값!$B$76*입력값!$C$88+F10*입력값!$B$77*입력값!$D$90+F15*입력값!$D$89+F8*입력값!$B$77*입력값!$D$88</f>
        <v/>
      </c>
      <c r="G19" s="40">
        <f>G10*입력값!$B$75*입력값!$B$90+G13*입력값!$B$89+G8*입력값!$B$75*입력값!$B$88+G10*입력값!$B$76*입력값!$C$90+G14*입력값!$C$89+G8*입력값!$B$76*입력값!$C$88+G10*입력값!$B$77*입력값!$D$90+G15*입력값!$D$89+G8*입력값!$B$77*입력값!$D$88</f>
        <v/>
      </c>
      <c r="H19" s="40">
        <f>H10*입력값!$B$75*입력값!$B$90+H13*입력값!$B$89+H8*입력값!$B$75*입력값!$B$88+H10*입력값!$B$76*입력값!$C$90+H14*입력값!$C$89+H8*입력값!$B$76*입력값!$C$88+H10*입력값!$B$77*입력값!$D$90+H15*입력값!$D$89+H8*입력값!$B$77*입력값!$D$88</f>
        <v/>
      </c>
      <c r="I19" s="40">
        <f>I10*입력값!$B$75*입력값!$B$90+I13*입력값!$B$89+I8*입력값!$B$75*입력값!$B$88+I10*입력값!$B$76*입력값!$C$90+I14*입력값!$C$89+I8*입력값!$B$76*입력값!$C$88+I10*입력값!$B$77*입력값!$D$90+I15*입력값!$D$89+I8*입력값!$B$77*입력값!$D$88</f>
        <v/>
      </c>
      <c r="J19" s="40">
        <f>J10*입력값!$B$75*입력값!$B$90+J13*입력값!$B$89+J8*입력값!$B$75*입력값!$B$88+J10*입력값!$B$76*입력값!$C$90+J14*입력값!$C$89+J8*입력값!$B$76*입력값!$C$88+J10*입력값!$B$77*입력값!$D$90+J15*입력값!$D$89+J8*입력값!$B$77*입력값!$D$88</f>
        <v/>
      </c>
      <c r="K19" s="40">
        <f>K10*입력값!$B$75*입력값!$B$90+K13*입력값!$B$89+K8*입력값!$B$75*입력값!$B$88+K10*입력값!$B$76*입력값!$C$90+K14*입력값!$C$89+K8*입력값!$B$76*입력값!$C$88+K10*입력값!$B$77*입력값!$D$90+K15*입력값!$D$89+K8*입력값!$B$77*입력값!$D$88</f>
        <v/>
      </c>
      <c r="L19" s="40">
        <f>L10*입력값!$B$75*입력값!$B$90+L13*입력값!$B$89+L8*입력값!$B$75*입력값!$B$88+L10*입력값!$B$76*입력값!$C$90+L14*입력값!$C$89+L8*입력값!$B$76*입력값!$C$88+L10*입력값!$B$77*입력값!$D$90+L15*입력값!$D$89+L8*입력값!$B$77*입력값!$D$88</f>
        <v/>
      </c>
      <c r="M19" s="40">
        <f>M10*입력값!$B$75*입력값!$B$90+M13*입력값!$B$89+M8*입력값!$B$75*입력값!$B$88+M10*입력값!$B$76*입력값!$C$90+M14*입력값!$C$89+M8*입력값!$B$76*입력값!$C$88+M10*입력값!$B$77*입력값!$D$90+M15*입력값!$D$89+M8*입력값!$B$77*입력값!$D$88</f>
        <v/>
      </c>
      <c r="N19" s="40">
        <f>N10*입력값!$B$75*입력값!$B$90+N13*입력값!$B$89+N8*입력값!$B$75*입력값!$B$88+N10*입력값!$B$76*입력값!$C$90+N14*입력값!$C$89+N8*입력값!$B$76*입력값!$C$88+N10*입력값!$B$77*입력값!$D$90+N15*입력값!$D$89+N8*입력값!$B$77*입력값!$D$88</f>
        <v/>
      </c>
      <c r="O19" s="40">
        <f>O10*입력값!$B$75*입력값!$B$90+O13*입력값!$B$89+O8*입력값!$B$75*입력값!$B$88+O10*입력값!$B$76*입력값!$C$90+O14*입력값!$C$89+O8*입력값!$B$76*입력값!$C$88+O10*입력값!$B$77*입력값!$D$90+O15*입력값!$D$89+O8*입력값!$B$77*입력값!$D$88</f>
        <v/>
      </c>
      <c r="P19" s="40">
        <f>P10*입력값!$B$75*입력값!$B$90+P13*입력값!$B$89+P8*입력값!$B$75*입력값!$B$88+P10*입력값!$B$76*입력값!$C$90+P14*입력값!$C$89+P8*입력값!$B$76*입력값!$C$88+P10*입력값!$B$77*입력값!$D$90+P15*입력값!$D$89+P8*입력값!$B$77*입력값!$D$88</f>
        <v/>
      </c>
      <c r="Q19" s="40">
        <f>Q10*입력값!$B$75*입력값!$B$90+Q13*입력값!$B$89+Q8*입력값!$B$75*입력값!$B$88+Q10*입력값!$B$76*입력값!$C$90+Q14*입력값!$C$89+Q8*입력값!$B$76*입력값!$C$88+Q10*입력값!$B$77*입력값!$D$90+Q15*입력값!$D$89+Q8*입력값!$B$77*입력값!$D$88</f>
        <v/>
      </c>
      <c r="R19" s="40">
        <f>R10*입력값!$B$75*입력값!$B$90+R13*입력값!$B$89+R8*입력값!$B$75*입력값!$B$88+R10*입력값!$B$76*입력값!$C$90+R14*입력값!$C$89+R8*입력값!$B$76*입력값!$C$88+R10*입력값!$B$77*입력값!$D$90+R15*입력값!$D$89+R8*입력값!$B$77*입력값!$D$88</f>
        <v/>
      </c>
      <c r="S19" s="40">
        <f>S10*입력값!$B$75*입력값!$B$90+S13*입력값!$B$89+S8*입력값!$B$75*입력값!$B$88+S10*입력값!$B$76*입력값!$C$90+S14*입력값!$C$89+S8*입력값!$B$76*입력값!$C$88+S10*입력값!$B$77*입력값!$D$90+S15*입력값!$D$89+S8*입력값!$B$77*입력값!$D$88</f>
        <v/>
      </c>
      <c r="T19" s="40">
        <f>T10*입력값!$B$75*입력값!$B$90+T13*입력값!$B$89+T8*입력값!$B$75*입력값!$B$88+T10*입력값!$B$76*입력값!$C$90+T14*입력값!$C$89+T8*입력값!$B$76*입력값!$C$88+T10*입력값!$B$77*입력값!$D$90+T15*입력값!$D$89+T8*입력값!$B$77*입력값!$D$88</f>
        <v/>
      </c>
      <c r="U19" s="40">
        <f>U10*입력값!$B$75*입력값!$B$90+U13*입력값!$B$89+U8*입력값!$B$75*입력값!$B$88+U10*입력값!$B$76*입력값!$C$90+U14*입력값!$C$89+U8*입력값!$B$76*입력값!$C$88+U10*입력값!$B$77*입력값!$D$90+U15*입력값!$D$89+U8*입력값!$B$77*입력값!$D$88</f>
        <v/>
      </c>
      <c r="V19" s="40">
        <f>V10*입력값!$B$75*입력값!$B$90+V13*입력값!$B$89+V8*입력값!$B$75*입력값!$B$88+V10*입력값!$B$76*입력값!$C$90+V14*입력값!$C$89+V8*입력값!$B$76*입력값!$C$88+V10*입력값!$B$77*입력값!$D$90+V15*입력값!$D$89+V8*입력값!$B$77*입력값!$D$88</f>
        <v/>
      </c>
      <c r="W19" s="40">
        <f>W10*입력값!$B$75*입력값!$B$90+W13*입력값!$B$89+W8*입력값!$B$75*입력값!$B$88+W10*입력값!$B$76*입력값!$C$90+W14*입력값!$C$89+W8*입력값!$B$76*입력값!$C$88+W10*입력값!$B$77*입력값!$D$90+W15*입력값!$D$89+W8*입력값!$B$77*입력값!$D$88</f>
        <v/>
      </c>
      <c r="X19" s="40">
        <f>X10*입력값!$B$75*입력값!$B$90+X13*입력값!$B$89+X8*입력값!$B$75*입력값!$B$88+X10*입력값!$B$76*입력값!$C$90+X14*입력값!$C$89+X8*입력값!$B$76*입력값!$C$88+X10*입력값!$B$77*입력값!$D$90+X15*입력값!$D$89+X8*입력값!$B$77*입력값!$D$88</f>
        <v/>
      </c>
      <c r="Y19" s="40">
        <f>Y10*입력값!$B$75*입력값!$B$90+Y13*입력값!$B$89+Y8*입력값!$B$75*입력값!$B$88+Y10*입력값!$B$76*입력값!$C$90+Y14*입력값!$C$89+Y8*입력값!$B$76*입력값!$C$88+Y10*입력값!$B$77*입력값!$D$90+Y15*입력값!$D$89+Y8*입력값!$B$77*입력값!$D$88</f>
        <v/>
      </c>
      <c r="Z19" s="40">
        <f>Z10*입력값!$B$75*입력값!$B$90+Z13*입력값!$B$89+Z8*입력값!$B$75*입력값!$B$88+Z10*입력값!$B$76*입력값!$C$90+Z14*입력값!$C$89+Z8*입력값!$B$76*입력값!$C$88+Z10*입력값!$B$77*입력값!$D$90+Z15*입력값!$D$89+Z8*입력값!$B$77*입력값!$D$88</f>
        <v/>
      </c>
      <c r="AA19" s="40">
        <f>AA10*입력값!$B$75*입력값!$B$90+AA13*입력값!$B$89+AA8*입력값!$B$75*입력값!$B$88+AA10*입력값!$B$76*입력값!$C$90+AA14*입력값!$C$89+AA8*입력값!$B$76*입력값!$C$88+AA10*입력값!$B$77*입력값!$D$90+AA15*입력값!$D$89+AA8*입력값!$B$77*입력값!$D$88</f>
        <v/>
      </c>
      <c r="AB19" s="40">
        <f>AB10*입력값!$B$75*입력값!$B$90+AB13*입력값!$B$89+AB8*입력값!$B$75*입력값!$B$88+AB10*입력값!$B$76*입력값!$C$90+AB14*입력값!$C$89+AB8*입력값!$B$76*입력값!$C$88+AB10*입력값!$B$77*입력값!$D$90+AB15*입력값!$D$89+AB8*입력값!$B$77*입력값!$D$88</f>
        <v/>
      </c>
      <c r="AC19" s="40">
        <f>AC10*입력값!$B$75*입력값!$B$90+AC13*입력값!$B$89+AC8*입력값!$B$75*입력값!$B$88+AC10*입력값!$B$76*입력값!$C$90+AC14*입력값!$C$89+AC8*입력값!$B$76*입력값!$C$88+AC10*입력값!$B$77*입력값!$D$90+AC15*입력값!$D$89+AC8*입력값!$B$77*입력값!$D$88</f>
        <v/>
      </c>
      <c r="AD19" s="40">
        <f>AD10*입력값!$B$75*입력값!$B$90+AD13*입력값!$B$89+AD8*입력값!$B$75*입력값!$B$88+AD10*입력값!$B$76*입력값!$C$90+AD14*입력값!$C$89+AD8*입력값!$B$76*입력값!$C$88+AD10*입력값!$B$77*입력값!$D$90+AD15*입력값!$D$89+AD8*입력값!$B$77*입력값!$D$88</f>
        <v/>
      </c>
      <c r="AE19" s="40">
        <f>AE10*입력값!$B$75*입력값!$B$90+AE13*입력값!$B$89+AE8*입력값!$B$75*입력값!$B$88+AE10*입력값!$B$76*입력값!$C$90+AE14*입력값!$C$89+AE8*입력값!$B$76*입력값!$C$88+AE10*입력값!$B$77*입력값!$D$90+AE15*입력값!$D$89+AE8*입력값!$B$77*입력값!$D$88</f>
        <v/>
      </c>
      <c r="AF19" s="40">
        <f>AF10*입력값!$B$75*입력값!$B$90+AF13*입력값!$B$89+AF8*입력값!$B$75*입력값!$B$88+AF10*입력값!$B$76*입력값!$C$90+AF14*입력값!$C$89+AF8*입력값!$B$76*입력값!$C$88+AF10*입력값!$B$77*입력값!$D$90+AF15*입력값!$D$89+AF8*입력값!$B$77*입력값!$D$88</f>
        <v/>
      </c>
      <c r="AG19" s="40">
        <f>AG10*입력값!$B$75*입력값!$B$90+AG13*입력값!$B$89+AG8*입력값!$B$75*입력값!$B$88+AG10*입력값!$B$76*입력값!$C$90+AG14*입력값!$C$89+AG8*입력값!$B$76*입력값!$C$88+AG10*입력값!$B$77*입력값!$D$90+AG15*입력값!$D$89+AG8*입력값!$B$77*입력값!$D$88</f>
        <v/>
      </c>
      <c r="AH19" s="40">
        <f>AH10*입력값!$B$75*입력값!$B$90+AH13*입력값!$B$89+AH8*입력값!$B$75*입력값!$B$88+AH10*입력값!$B$76*입력값!$C$90+AH14*입력값!$C$89+AH8*입력값!$B$76*입력값!$C$88+AH10*입력값!$B$77*입력값!$D$90+AH15*입력값!$D$89+AH8*입력값!$B$77*입력값!$D$88</f>
        <v/>
      </c>
      <c r="AI19" s="40">
        <f>AI10*입력값!$B$75*입력값!$B$90+AI13*입력값!$B$89+AI8*입력값!$B$75*입력값!$B$88+AI10*입력값!$B$76*입력값!$C$90+AI14*입력값!$C$89+AI8*입력값!$B$76*입력값!$C$88+AI10*입력값!$B$77*입력값!$D$90+AI15*입력값!$D$89+AI8*입력값!$B$77*입력값!$D$88</f>
        <v/>
      </c>
      <c r="AJ19" s="40">
        <f>AJ10*입력값!$B$75*입력값!$B$90+AJ13*입력값!$B$89+AJ8*입력값!$B$75*입력값!$B$88+AJ10*입력값!$B$76*입력값!$C$90+AJ14*입력값!$C$89+AJ8*입력값!$B$76*입력값!$C$88+AJ10*입력값!$B$77*입력값!$D$90+AJ15*입력값!$D$89+AJ8*입력값!$B$77*입력값!$D$88</f>
        <v/>
      </c>
      <c r="AK19" s="40">
        <f>AK10*입력값!$B$75*입력값!$B$90+AK13*입력값!$B$89+AK8*입력값!$B$75*입력값!$B$88+AK10*입력값!$B$76*입력값!$C$90+AK14*입력값!$C$89+AK8*입력값!$B$76*입력값!$C$88+AK10*입력값!$B$77*입력값!$D$90+AK15*입력값!$D$89+AK8*입력값!$B$77*입력값!$D$88</f>
        <v/>
      </c>
      <c r="AL19" s="40">
        <f>AL10*입력값!$B$75*입력값!$B$90+AL13*입력값!$B$89+AL8*입력값!$B$75*입력값!$B$88+AL10*입력값!$B$76*입력값!$C$90+AL14*입력값!$C$89+AL8*입력값!$B$76*입력값!$C$88+AL10*입력값!$B$77*입력값!$D$90+AL15*입력값!$D$89+AL8*입력값!$B$77*입력값!$D$88</f>
        <v/>
      </c>
      <c r="AM19" s="40">
        <f>AM10*입력값!$B$75*입력값!$B$90+AM13*입력값!$B$89+AM8*입력값!$B$75*입력값!$B$88+AM10*입력값!$B$76*입력값!$C$90+AM14*입력값!$C$89+AM8*입력값!$B$76*입력값!$C$88+AM10*입력값!$B$77*입력값!$D$90+AM15*입력값!$D$89+AM8*입력값!$B$77*입력값!$D$88</f>
        <v/>
      </c>
      <c r="AN19" s="40">
        <f>AN10*입력값!$B$75*입력값!$B$90+AN13*입력값!$B$89+AN8*입력값!$B$75*입력값!$B$88+AN10*입력값!$B$76*입력값!$C$90+AN14*입력값!$C$89+AN8*입력값!$B$76*입력값!$C$88+AN10*입력값!$B$77*입력값!$D$90+AN15*입력값!$D$89+AN8*입력값!$B$77*입력값!$D$88</f>
        <v/>
      </c>
      <c r="AO19" s="40">
        <f>AO10*입력값!$B$75*입력값!$B$90+AO13*입력값!$B$89+AO8*입력값!$B$75*입력값!$B$88+AO10*입력값!$B$76*입력값!$C$90+AO14*입력값!$C$89+AO8*입력값!$B$76*입력값!$C$88+AO10*입력값!$B$77*입력값!$D$90+AO15*입력값!$D$89+AO8*입력값!$B$77*입력값!$D$88</f>
        <v/>
      </c>
      <c r="AP19" s="40">
        <f>AP10*입력값!$B$75*입력값!$B$90+AP13*입력값!$B$89+AP8*입력값!$B$75*입력값!$B$88+AP10*입력값!$B$76*입력값!$C$90+AP14*입력값!$C$89+AP8*입력값!$B$76*입력값!$C$88+AP10*입력값!$B$77*입력값!$D$90+AP15*입력값!$D$89+AP8*입력값!$B$77*입력값!$D$88</f>
        <v/>
      </c>
      <c r="AQ19" s="40">
        <f>AQ10*입력값!$B$75*입력값!$B$90+AQ13*입력값!$B$89+AQ8*입력값!$B$75*입력값!$B$88+AQ10*입력값!$B$76*입력값!$C$90+AQ14*입력값!$C$89+AQ8*입력값!$B$76*입력값!$C$88+AQ10*입력값!$B$77*입력값!$D$90+AQ15*입력값!$D$89+AQ8*입력값!$B$77*입력값!$D$88</f>
        <v/>
      </c>
      <c r="AR19" s="40">
        <f>AR10*입력값!$B$75*입력값!$B$90+AR13*입력값!$B$89+AR8*입력값!$B$75*입력값!$B$88+AR10*입력값!$B$76*입력값!$C$90+AR14*입력값!$C$89+AR8*입력값!$B$76*입력값!$C$88+AR10*입력값!$B$77*입력값!$D$90+AR15*입력값!$D$89+AR8*입력값!$B$77*입력값!$D$88</f>
        <v/>
      </c>
      <c r="AS19" s="40">
        <f>AS10*입력값!$B$75*입력값!$B$90+AS13*입력값!$B$89+AS8*입력값!$B$75*입력값!$B$88+AS10*입력값!$B$76*입력값!$C$90+AS14*입력값!$C$89+AS8*입력값!$B$76*입력값!$C$88+AS10*입력값!$B$77*입력값!$D$90+AS15*입력값!$D$89+AS8*입력값!$B$77*입력값!$D$88</f>
        <v/>
      </c>
      <c r="AT19" s="40">
        <f>AT10*입력값!$B$75*입력값!$B$90+AT13*입력값!$B$89+AT8*입력값!$B$75*입력값!$B$88+AT10*입력값!$B$76*입력값!$C$90+AT14*입력값!$C$89+AT8*입력값!$B$76*입력값!$C$88+AT10*입력값!$B$77*입력값!$D$90+AT15*입력값!$D$89+AT8*입력값!$B$77*입력값!$D$88</f>
        <v/>
      </c>
      <c r="AU19" s="40">
        <f>AU10*입력값!$B$75*입력값!$B$90+AU13*입력값!$B$89+AU8*입력값!$B$75*입력값!$B$88+AU10*입력값!$B$76*입력값!$C$90+AU14*입력값!$C$89+AU8*입력값!$B$76*입력값!$C$88+AU10*입력값!$B$77*입력값!$D$90+AU15*입력값!$D$89+AU8*입력값!$B$77*입력값!$D$88</f>
        <v/>
      </c>
      <c r="AV19" s="40">
        <f>AV10*입력값!$B$75*입력값!$B$90+AV13*입력값!$B$89+AV8*입력값!$B$75*입력값!$B$88+AV10*입력값!$B$76*입력값!$C$90+AV14*입력값!$C$89+AV8*입력값!$B$76*입력값!$C$88+AV10*입력값!$B$77*입력값!$D$90+AV15*입력값!$D$89+AV8*입력값!$B$77*입력값!$D$88</f>
        <v/>
      </c>
      <c r="AW19" s="40">
        <f>AW10*입력값!$B$75*입력값!$B$90+AW13*입력값!$B$89+AW8*입력값!$B$75*입력값!$B$88+AW10*입력값!$B$76*입력값!$C$90+AW14*입력값!$C$89+AW8*입력값!$B$76*입력값!$C$88+AW10*입력값!$B$77*입력값!$D$90+AW15*입력값!$D$89+AW8*입력값!$B$77*입력값!$D$88</f>
        <v/>
      </c>
      <c r="AX19" s="40">
        <f>AX10*입력값!$B$75*입력값!$B$90+AX13*입력값!$B$89+AX8*입력값!$B$75*입력값!$B$88+AX10*입력값!$B$76*입력값!$C$90+AX14*입력값!$C$89+AX8*입력값!$B$76*입력값!$C$88+AX10*입력값!$B$77*입력값!$D$90+AX15*입력값!$D$89+AX8*입력값!$B$77*입력값!$D$88</f>
        <v/>
      </c>
      <c r="AY19" s="40">
        <f>AY10*입력값!$B$75*입력값!$B$90+AY13*입력값!$B$89+AY8*입력값!$B$75*입력값!$B$88+AY10*입력값!$B$76*입력값!$C$90+AY14*입력값!$C$89+AY8*입력값!$B$76*입력값!$C$88+AY10*입력값!$B$77*입력값!$D$90+AY15*입력값!$D$89+AY8*입력값!$B$77*입력값!$D$88</f>
        <v/>
      </c>
      <c r="AZ19" s="40">
        <f>AZ10*입력값!$B$75*입력값!$B$90+AZ13*입력값!$B$89+AZ8*입력값!$B$75*입력값!$B$88+AZ10*입력값!$B$76*입력값!$C$90+AZ14*입력값!$C$89+AZ8*입력값!$B$76*입력값!$C$88+AZ10*입력값!$B$77*입력값!$D$90+AZ15*입력값!$D$89+AZ8*입력값!$B$77*입력값!$D$88</f>
        <v/>
      </c>
      <c r="BA19" s="40">
        <f>BA10*입력값!$B$75*입력값!$B$90+BA13*입력값!$B$89+BA8*입력값!$B$75*입력값!$B$88+BA10*입력값!$B$76*입력값!$C$90+BA14*입력값!$C$89+BA8*입력값!$B$76*입력값!$C$88+BA10*입력값!$B$77*입력값!$D$90+BA15*입력값!$D$89+BA8*입력값!$B$77*입력값!$D$88</f>
        <v/>
      </c>
      <c r="BB19" s="40">
        <f>BB10*입력값!$B$75*입력값!$B$90+BB13*입력값!$B$89+BB8*입력값!$B$75*입력값!$B$88+BB10*입력값!$B$76*입력값!$C$90+BB14*입력값!$C$89+BB8*입력값!$B$76*입력값!$C$88+BB10*입력값!$B$77*입력값!$D$90+BB15*입력값!$D$89+BB8*입력값!$B$77*입력값!$D$88</f>
        <v/>
      </c>
      <c r="BC19" s="40">
        <f>BC10*입력값!$B$75*입력값!$B$90+BC13*입력값!$B$89+BC8*입력값!$B$75*입력값!$B$88+BC10*입력값!$B$76*입력값!$C$90+BC14*입력값!$C$89+BC8*입력값!$B$76*입력값!$C$88+BC10*입력값!$B$77*입력값!$D$90+BC15*입력값!$D$89+BC8*입력값!$B$77*입력값!$D$88</f>
        <v/>
      </c>
      <c r="BD19" s="40">
        <f>BD10*입력값!$B$75*입력값!$B$90+BD13*입력값!$B$89+BD8*입력값!$B$75*입력값!$B$88+BD10*입력값!$B$76*입력값!$C$90+BD14*입력값!$C$89+BD8*입력값!$B$76*입력값!$C$88+BD10*입력값!$B$77*입력값!$D$90+BD15*입력값!$D$89+BD8*입력값!$B$77*입력값!$D$88</f>
        <v/>
      </c>
      <c r="BE19" s="40">
        <f>BE10*입력값!$B$75*입력값!$B$90+BE13*입력값!$B$89+BE8*입력값!$B$75*입력값!$B$88+BE10*입력값!$B$76*입력값!$C$90+BE14*입력값!$C$89+BE8*입력값!$B$76*입력값!$C$88+BE10*입력값!$B$77*입력값!$D$90+BE15*입력값!$D$89+BE8*입력값!$B$77*입력값!$D$88</f>
        <v/>
      </c>
      <c r="BF19" s="40">
        <f>BF10*입력값!$B$75*입력값!$B$90+BF13*입력값!$B$89+BF8*입력값!$B$75*입력값!$B$88+BF10*입력값!$B$76*입력값!$C$90+BF14*입력값!$C$89+BF8*입력값!$B$76*입력값!$C$88+BF10*입력값!$B$77*입력값!$D$90+BF15*입력값!$D$89+BF8*입력값!$B$77*입력값!$D$88</f>
        <v/>
      </c>
      <c r="BG19" s="40">
        <f>BG10*입력값!$B$75*입력값!$B$90+BG13*입력값!$B$89+BG8*입력값!$B$75*입력값!$B$88+BG10*입력값!$B$76*입력값!$C$90+BG14*입력값!$C$89+BG8*입력값!$B$76*입력값!$C$88+BG10*입력값!$B$77*입력값!$D$90+BG15*입력값!$D$89+BG8*입력값!$B$77*입력값!$D$88</f>
        <v/>
      </c>
      <c r="BH19" s="40">
        <f>BH10*입력값!$B$75*입력값!$B$90+BH13*입력값!$B$89+BH8*입력값!$B$75*입력값!$B$88+BH10*입력값!$B$76*입력값!$C$90+BH14*입력값!$C$89+BH8*입력값!$B$76*입력값!$C$88+BH10*입력값!$B$77*입력값!$D$90+BH15*입력값!$D$89+BH8*입력값!$B$77*입력값!$D$88</f>
        <v/>
      </c>
      <c r="BI19" s="40">
        <f>BI10*입력값!$B$75*입력값!$B$90+BI13*입력값!$B$89+BI8*입력값!$B$75*입력값!$B$88+BI10*입력값!$B$76*입력값!$C$90+BI14*입력값!$C$89+BI8*입력값!$B$76*입력값!$C$88+BI10*입력값!$B$77*입력값!$D$90+BI15*입력값!$D$89+BI8*입력값!$B$77*입력값!$D$88</f>
        <v/>
      </c>
      <c r="BJ19" s="40">
        <f>BJ10*입력값!$B$75*입력값!$B$90+BJ13*입력값!$B$89+BJ8*입력값!$B$75*입력값!$B$88+BJ10*입력값!$B$76*입력값!$C$90+BJ14*입력값!$C$89+BJ8*입력값!$B$76*입력값!$C$88+BJ10*입력값!$B$77*입력값!$D$90+BJ15*입력값!$D$89+BJ8*입력값!$B$77*입력값!$D$88</f>
        <v/>
      </c>
    </row>
    <row r="20">
      <c r="A20" s="25" t="inlineStr">
        <is>
          <t>기존 인력 대응 가능 시간</t>
        </is>
      </c>
      <c r="C20" s="40">
        <f>입력값!$B$96</f>
        <v/>
      </c>
      <c r="D20" s="40">
        <f>입력값!$B$96</f>
        <v/>
      </c>
      <c r="E20" s="40">
        <f>입력값!$B$96</f>
        <v/>
      </c>
      <c r="F20" s="40">
        <f>입력값!$B$96</f>
        <v/>
      </c>
      <c r="G20" s="40">
        <f>입력값!$B$96</f>
        <v/>
      </c>
      <c r="H20" s="40">
        <f>입력값!$B$96</f>
        <v/>
      </c>
      <c r="I20" s="40">
        <f>입력값!$B$96</f>
        <v/>
      </c>
      <c r="J20" s="40">
        <f>입력값!$B$96</f>
        <v/>
      </c>
      <c r="K20" s="40">
        <f>입력값!$B$96</f>
        <v/>
      </c>
      <c r="L20" s="40">
        <f>입력값!$B$96</f>
        <v/>
      </c>
      <c r="M20" s="40">
        <f>입력값!$B$96</f>
        <v/>
      </c>
      <c r="N20" s="40">
        <f>입력값!$B$96</f>
        <v/>
      </c>
      <c r="O20" s="40">
        <f>입력값!$B$96</f>
        <v/>
      </c>
      <c r="P20" s="40">
        <f>입력값!$B$96</f>
        <v/>
      </c>
      <c r="Q20" s="40">
        <f>입력값!$B$96</f>
        <v/>
      </c>
      <c r="R20" s="40">
        <f>입력값!$B$96</f>
        <v/>
      </c>
      <c r="S20" s="40">
        <f>입력값!$B$96</f>
        <v/>
      </c>
      <c r="T20" s="40">
        <f>입력값!$B$96</f>
        <v/>
      </c>
      <c r="U20" s="40">
        <f>입력값!$B$96</f>
        <v/>
      </c>
      <c r="V20" s="40">
        <f>입력값!$B$96</f>
        <v/>
      </c>
      <c r="W20" s="40">
        <f>입력값!$B$96</f>
        <v/>
      </c>
      <c r="X20" s="40">
        <f>입력값!$B$96</f>
        <v/>
      </c>
      <c r="Y20" s="40">
        <f>입력값!$B$96</f>
        <v/>
      </c>
      <c r="Z20" s="40">
        <f>입력값!$B$96</f>
        <v/>
      </c>
      <c r="AA20" s="40">
        <f>입력값!$B$96</f>
        <v/>
      </c>
      <c r="AB20" s="40">
        <f>입력값!$B$96</f>
        <v/>
      </c>
      <c r="AC20" s="40">
        <f>입력값!$B$96</f>
        <v/>
      </c>
      <c r="AD20" s="40">
        <f>입력값!$B$96</f>
        <v/>
      </c>
      <c r="AE20" s="40">
        <f>입력값!$B$96</f>
        <v/>
      </c>
      <c r="AF20" s="40">
        <f>입력값!$B$96</f>
        <v/>
      </c>
      <c r="AG20" s="40">
        <f>입력값!$B$96</f>
        <v/>
      </c>
      <c r="AH20" s="40">
        <f>입력값!$B$96</f>
        <v/>
      </c>
      <c r="AI20" s="40">
        <f>입력값!$B$96</f>
        <v/>
      </c>
      <c r="AJ20" s="40">
        <f>입력값!$B$96</f>
        <v/>
      </c>
      <c r="AK20" s="40">
        <f>입력값!$B$96</f>
        <v/>
      </c>
      <c r="AL20" s="40">
        <f>입력값!$B$96</f>
        <v/>
      </c>
      <c r="AM20" s="40">
        <f>입력값!$B$96</f>
        <v/>
      </c>
      <c r="AN20" s="40">
        <f>입력값!$B$96</f>
        <v/>
      </c>
      <c r="AO20" s="40">
        <f>입력값!$B$96</f>
        <v/>
      </c>
      <c r="AP20" s="40">
        <f>입력값!$B$96</f>
        <v/>
      </c>
      <c r="AQ20" s="40">
        <f>입력값!$B$96</f>
        <v/>
      </c>
      <c r="AR20" s="40">
        <f>입력값!$B$96</f>
        <v/>
      </c>
      <c r="AS20" s="40">
        <f>입력값!$B$96</f>
        <v/>
      </c>
      <c r="AT20" s="40">
        <f>입력값!$B$96</f>
        <v/>
      </c>
      <c r="AU20" s="40">
        <f>입력값!$B$96</f>
        <v/>
      </c>
      <c r="AV20" s="40">
        <f>입력값!$B$96</f>
        <v/>
      </c>
      <c r="AW20" s="40">
        <f>입력값!$B$96</f>
        <v/>
      </c>
      <c r="AX20" s="40">
        <f>입력값!$B$96</f>
        <v/>
      </c>
      <c r="AY20" s="40">
        <f>입력값!$B$96</f>
        <v/>
      </c>
      <c r="AZ20" s="40">
        <f>입력값!$B$96</f>
        <v/>
      </c>
      <c r="BA20" s="40">
        <f>입력값!$B$96</f>
        <v/>
      </c>
      <c r="BB20" s="40">
        <f>입력값!$B$96</f>
        <v/>
      </c>
      <c r="BC20" s="40">
        <f>입력값!$B$96</f>
        <v/>
      </c>
      <c r="BD20" s="40">
        <f>입력값!$B$96</f>
        <v/>
      </c>
      <c r="BE20" s="40">
        <f>입력값!$B$96</f>
        <v/>
      </c>
      <c r="BF20" s="40">
        <f>입력값!$B$96</f>
        <v/>
      </c>
      <c r="BG20" s="40">
        <f>입력값!$B$96</f>
        <v/>
      </c>
      <c r="BH20" s="40">
        <f>입력값!$B$96</f>
        <v/>
      </c>
      <c r="BI20" s="40">
        <f>입력값!$B$96</f>
        <v/>
      </c>
      <c r="BJ20" s="40">
        <f>입력값!$B$96</f>
        <v/>
      </c>
    </row>
    <row r="21">
      <c r="A21" s="25" t="inlineStr">
        <is>
          <t>CS 가동률</t>
        </is>
      </c>
      <c r="C21" s="14">
        <f>IF(C20&gt;0,C19/C20,0)</f>
        <v/>
      </c>
      <c r="D21" s="14">
        <f>IF(D20&gt;0,D19/D20,0)</f>
        <v/>
      </c>
      <c r="E21" s="14">
        <f>IF(E20&gt;0,E19/E20,0)</f>
        <v/>
      </c>
      <c r="F21" s="14">
        <f>IF(F20&gt;0,F19/F20,0)</f>
        <v/>
      </c>
      <c r="G21" s="14">
        <f>IF(G20&gt;0,G19/G20,0)</f>
        <v/>
      </c>
      <c r="H21" s="14">
        <f>IF(H20&gt;0,H19/H20,0)</f>
        <v/>
      </c>
      <c r="I21" s="14">
        <f>IF(I20&gt;0,I19/I20,0)</f>
        <v/>
      </c>
      <c r="J21" s="14">
        <f>IF(J20&gt;0,J19/J20,0)</f>
        <v/>
      </c>
      <c r="K21" s="14">
        <f>IF(K20&gt;0,K19/K20,0)</f>
        <v/>
      </c>
      <c r="L21" s="14">
        <f>IF(L20&gt;0,L19/L20,0)</f>
        <v/>
      </c>
      <c r="M21" s="14">
        <f>IF(M20&gt;0,M19/M20,0)</f>
        <v/>
      </c>
      <c r="N21" s="14">
        <f>IF(N20&gt;0,N19/N20,0)</f>
        <v/>
      </c>
      <c r="O21" s="14">
        <f>IF(O20&gt;0,O19/O20,0)</f>
        <v/>
      </c>
      <c r="P21" s="14">
        <f>IF(P20&gt;0,P19/P20,0)</f>
        <v/>
      </c>
      <c r="Q21" s="14">
        <f>IF(Q20&gt;0,Q19/Q20,0)</f>
        <v/>
      </c>
      <c r="R21" s="14">
        <f>IF(R20&gt;0,R19/R20,0)</f>
        <v/>
      </c>
      <c r="S21" s="14">
        <f>IF(S20&gt;0,S19/S20,0)</f>
        <v/>
      </c>
      <c r="T21" s="14">
        <f>IF(T20&gt;0,T19/T20,0)</f>
        <v/>
      </c>
      <c r="U21" s="14">
        <f>IF(U20&gt;0,U19/U20,0)</f>
        <v/>
      </c>
      <c r="V21" s="14">
        <f>IF(V20&gt;0,V19/V20,0)</f>
        <v/>
      </c>
      <c r="W21" s="14">
        <f>IF(W20&gt;0,W19/W20,0)</f>
        <v/>
      </c>
      <c r="X21" s="14">
        <f>IF(X20&gt;0,X19/X20,0)</f>
        <v/>
      </c>
      <c r="Y21" s="14">
        <f>IF(Y20&gt;0,Y19/Y20,0)</f>
        <v/>
      </c>
      <c r="Z21" s="14">
        <f>IF(Z20&gt;0,Z19/Z20,0)</f>
        <v/>
      </c>
      <c r="AA21" s="14">
        <f>IF(AA20&gt;0,AA19/AA20,0)</f>
        <v/>
      </c>
      <c r="AB21" s="14">
        <f>IF(AB20&gt;0,AB19/AB20,0)</f>
        <v/>
      </c>
      <c r="AC21" s="14">
        <f>IF(AC20&gt;0,AC19/AC20,0)</f>
        <v/>
      </c>
      <c r="AD21" s="14">
        <f>IF(AD20&gt;0,AD19/AD20,0)</f>
        <v/>
      </c>
      <c r="AE21" s="14">
        <f>IF(AE20&gt;0,AE19/AE20,0)</f>
        <v/>
      </c>
      <c r="AF21" s="14">
        <f>IF(AF20&gt;0,AF19/AF20,0)</f>
        <v/>
      </c>
      <c r="AG21" s="14">
        <f>IF(AG20&gt;0,AG19/AG20,0)</f>
        <v/>
      </c>
      <c r="AH21" s="14">
        <f>IF(AH20&gt;0,AH19/AH20,0)</f>
        <v/>
      </c>
      <c r="AI21" s="14">
        <f>IF(AI20&gt;0,AI19/AI20,0)</f>
        <v/>
      </c>
      <c r="AJ21" s="14">
        <f>IF(AJ20&gt;0,AJ19/AJ20,0)</f>
        <v/>
      </c>
      <c r="AK21" s="14">
        <f>IF(AK20&gt;0,AK19/AK20,0)</f>
        <v/>
      </c>
      <c r="AL21" s="14">
        <f>IF(AL20&gt;0,AL19/AL20,0)</f>
        <v/>
      </c>
      <c r="AM21" s="14">
        <f>IF(AM20&gt;0,AM19/AM20,0)</f>
        <v/>
      </c>
      <c r="AN21" s="14">
        <f>IF(AN20&gt;0,AN19/AN20,0)</f>
        <v/>
      </c>
      <c r="AO21" s="14">
        <f>IF(AO20&gt;0,AO19/AO20,0)</f>
        <v/>
      </c>
      <c r="AP21" s="14">
        <f>IF(AP20&gt;0,AP19/AP20,0)</f>
        <v/>
      </c>
      <c r="AQ21" s="14">
        <f>IF(AQ20&gt;0,AQ19/AQ20,0)</f>
        <v/>
      </c>
      <c r="AR21" s="14">
        <f>IF(AR20&gt;0,AR19/AR20,0)</f>
        <v/>
      </c>
      <c r="AS21" s="14">
        <f>IF(AS20&gt;0,AS19/AS20,0)</f>
        <v/>
      </c>
      <c r="AT21" s="14">
        <f>IF(AT20&gt;0,AT19/AT20,0)</f>
        <v/>
      </c>
      <c r="AU21" s="14">
        <f>IF(AU20&gt;0,AU19/AU20,0)</f>
        <v/>
      </c>
      <c r="AV21" s="14">
        <f>IF(AV20&gt;0,AV19/AV20,0)</f>
        <v/>
      </c>
      <c r="AW21" s="14">
        <f>IF(AW20&gt;0,AW19/AW20,0)</f>
        <v/>
      </c>
      <c r="AX21" s="14">
        <f>IF(AX20&gt;0,AX19/AX20,0)</f>
        <v/>
      </c>
      <c r="AY21" s="14">
        <f>IF(AY20&gt;0,AY19/AY20,0)</f>
        <v/>
      </c>
      <c r="AZ21" s="14">
        <f>IF(AZ20&gt;0,AZ19/AZ20,0)</f>
        <v/>
      </c>
      <c r="BA21" s="14">
        <f>IF(BA20&gt;0,BA19/BA20,0)</f>
        <v/>
      </c>
      <c r="BB21" s="14">
        <f>IF(BB20&gt;0,BB19/BB20,0)</f>
        <v/>
      </c>
      <c r="BC21" s="14">
        <f>IF(BC20&gt;0,BC19/BC20,0)</f>
        <v/>
      </c>
      <c r="BD21" s="14">
        <f>IF(BD20&gt;0,BD19/BD20,0)</f>
        <v/>
      </c>
      <c r="BE21" s="14">
        <f>IF(BE20&gt;0,BE19/BE20,0)</f>
        <v/>
      </c>
      <c r="BF21" s="14">
        <f>IF(BF20&gt;0,BF19/BF20,0)</f>
        <v/>
      </c>
      <c r="BG21" s="14">
        <f>IF(BG20&gt;0,BG19/BG20,0)</f>
        <v/>
      </c>
      <c r="BH21" s="14">
        <f>IF(BH20&gt;0,BH19/BH20,0)</f>
        <v/>
      </c>
      <c r="BI21" s="14">
        <f>IF(BI20&gt;0,BI19/BI20,0)</f>
        <v/>
      </c>
      <c r="BJ21" s="14">
        <f>IF(BJ20&gt;0,BJ19/BJ20,0)</f>
        <v/>
      </c>
    </row>
    <row r="22">
      <c r="A22" s="25" t="inlineStr">
        <is>
          <t>추가 CS 인력 (명)</t>
        </is>
      </c>
      <c r="C22" s="13">
        <f>IF(입력값!$B$99="비례",MAX(0,C19-C20)/입력값!$B$98,ROUNDUP(MAX(0,C19-C20)/입력값!$B$98,0))</f>
        <v/>
      </c>
      <c r="D22" s="13">
        <f>IF(입력값!$B$99="비례",MAX(0,D19-D20)/입력값!$B$98,ROUNDUP(MAX(0,D19-D20)/입력값!$B$98,0))</f>
        <v/>
      </c>
      <c r="E22" s="13">
        <f>IF(입력값!$B$99="비례",MAX(0,E19-E20)/입력값!$B$98,ROUNDUP(MAX(0,E19-E20)/입력값!$B$98,0))</f>
        <v/>
      </c>
      <c r="F22" s="13">
        <f>IF(입력값!$B$99="비례",MAX(0,F19-F20)/입력값!$B$98,ROUNDUP(MAX(0,F19-F20)/입력값!$B$98,0))</f>
        <v/>
      </c>
      <c r="G22" s="13">
        <f>IF(입력값!$B$99="비례",MAX(0,G19-G20)/입력값!$B$98,ROUNDUP(MAX(0,G19-G20)/입력값!$B$98,0))</f>
        <v/>
      </c>
      <c r="H22" s="13">
        <f>IF(입력값!$B$99="비례",MAX(0,H19-H20)/입력값!$B$98,ROUNDUP(MAX(0,H19-H20)/입력값!$B$98,0))</f>
        <v/>
      </c>
      <c r="I22" s="13">
        <f>IF(입력값!$B$99="비례",MAX(0,I19-I20)/입력값!$B$98,ROUNDUP(MAX(0,I19-I20)/입력값!$B$98,0))</f>
        <v/>
      </c>
      <c r="J22" s="13">
        <f>IF(입력값!$B$99="비례",MAX(0,J19-J20)/입력값!$B$98,ROUNDUP(MAX(0,J19-J20)/입력값!$B$98,0))</f>
        <v/>
      </c>
      <c r="K22" s="13">
        <f>IF(입력값!$B$99="비례",MAX(0,K19-K20)/입력값!$B$98,ROUNDUP(MAX(0,K19-K20)/입력값!$B$98,0))</f>
        <v/>
      </c>
      <c r="L22" s="13">
        <f>IF(입력값!$B$99="비례",MAX(0,L19-L20)/입력값!$B$98,ROUNDUP(MAX(0,L19-L20)/입력값!$B$98,0))</f>
        <v/>
      </c>
      <c r="M22" s="13">
        <f>IF(입력값!$B$99="비례",MAX(0,M19-M20)/입력값!$B$98,ROUNDUP(MAX(0,M19-M20)/입력값!$B$98,0))</f>
        <v/>
      </c>
      <c r="N22" s="13">
        <f>IF(입력값!$B$99="비례",MAX(0,N19-N20)/입력값!$B$98,ROUNDUP(MAX(0,N19-N20)/입력값!$B$98,0))</f>
        <v/>
      </c>
      <c r="O22" s="13">
        <f>IF(입력값!$B$99="비례",MAX(0,O19-O20)/입력값!$B$98,ROUNDUP(MAX(0,O19-O20)/입력값!$B$98,0))</f>
        <v/>
      </c>
      <c r="P22" s="13">
        <f>IF(입력값!$B$99="비례",MAX(0,P19-P20)/입력값!$B$98,ROUNDUP(MAX(0,P19-P20)/입력값!$B$98,0))</f>
        <v/>
      </c>
      <c r="Q22" s="13">
        <f>IF(입력값!$B$99="비례",MAX(0,Q19-Q20)/입력값!$B$98,ROUNDUP(MAX(0,Q19-Q20)/입력값!$B$98,0))</f>
        <v/>
      </c>
      <c r="R22" s="13">
        <f>IF(입력값!$B$99="비례",MAX(0,R19-R20)/입력값!$B$98,ROUNDUP(MAX(0,R19-R20)/입력값!$B$98,0))</f>
        <v/>
      </c>
      <c r="S22" s="13">
        <f>IF(입력값!$B$99="비례",MAX(0,S19-S20)/입력값!$B$98,ROUNDUP(MAX(0,S19-S20)/입력값!$B$98,0))</f>
        <v/>
      </c>
      <c r="T22" s="13">
        <f>IF(입력값!$B$99="비례",MAX(0,T19-T20)/입력값!$B$98,ROUNDUP(MAX(0,T19-T20)/입력값!$B$98,0))</f>
        <v/>
      </c>
      <c r="U22" s="13">
        <f>IF(입력값!$B$99="비례",MAX(0,U19-U20)/입력값!$B$98,ROUNDUP(MAX(0,U19-U20)/입력값!$B$98,0))</f>
        <v/>
      </c>
      <c r="V22" s="13">
        <f>IF(입력값!$B$99="비례",MAX(0,V19-V20)/입력값!$B$98,ROUNDUP(MAX(0,V19-V20)/입력값!$B$98,0))</f>
        <v/>
      </c>
      <c r="W22" s="13">
        <f>IF(입력값!$B$99="비례",MAX(0,W19-W20)/입력값!$B$98,ROUNDUP(MAX(0,W19-W20)/입력값!$B$98,0))</f>
        <v/>
      </c>
      <c r="X22" s="13">
        <f>IF(입력값!$B$99="비례",MAX(0,X19-X20)/입력값!$B$98,ROUNDUP(MAX(0,X19-X20)/입력값!$B$98,0))</f>
        <v/>
      </c>
      <c r="Y22" s="13">
        <f>IF(입력값!$B$99="비례",MAX(0,Y19-Y20)/입력값!$B$98,ROUNDUP(MAX(0,Y19-Y20)/입력값!$B$98,0))</f>
        <v/>
      </c>
      <c r="Z22" s="13">
        <f>IF(입력값!$B$99="비례",MAX(0,Z19-Z20)/입력값!$B$98,ROUNDUP(MAX(0,Z19-Z20)/입력값!$B$98,0))</f>
        <v/>
      </c>
      <c r="AA22" s="13">
        <f>IF(입력값!$B$99="비례",MAX(0,AA19-AA20)/입력값!$B$98,ROUNDUP(MAX(0,AA19-AA20)/입력값!$B$98,0))</f>
        <v/>
      </c>
      <c r="AB22" s="13">
        <f>IF(입력값!$B$99="비례",MAX(0,AB19-AB20)/입력값!$B$98,ROUNDUP(MAX(0,AB19-AB20)/입력값!$B$98,0))</f>
        <v/>
      </c>
      <c r="AC22" s="13">
        <f>IF(입력값!$B$99="비례",MAX(0,AC19-AC20)/입력값!$B$98,ROUNDUP(MAX(0,AC19-AC20)/입력값!$B$98,0))</f>
        <v/>
      </c>
      <c r="AD22" s="13">
        <f>IF(입력값!$B$99="비례",MAX(0,AD19-AD20)/입력값!$B$98,ROUNDUP(MAX(0,AD19-AD20)/입력값!$B$98,0))</f>
        <v/>
      </c>
      <c r="AE22" s="13">
        <f>IF(입력값!$B$99="비례",MAX(0,AE19-AE20)/입력값!$B$98,ROUNDUP(MAX(0,AE19-AE20)/입력값!$B$98,0))</f>
        <v/>
      </c>
      <c r="AF22" s="13">
        <f>IF(입력값!$B$99="비례",MAX(0,AF19-AF20)/입력값!$B$98,ROUNDUP(MAX(0,AF19-AF20)/입력값!$B$98,0))</f>
        <v/>
      </c>
      <c r="AG22" s="13">
        <f>IF(입력값!$B$99="비례",MAX(0,AG19-AG20)/입력값!$B$98,ROUNDUP(MAX(0,AG19-AG20)/입력값!$B$98,0))</f>
        <v/>
      </c>
      <c r="AH22" s="13">
        <f>IF(입력값!$B$99="비례",MAX(0,AH19-AH20)/입력값!$B$98,ROUNDUP(MAX(0,AH19-AH20)/입력값!$B$98,0))</f>
        <v/>
      </c>
      <c r="AI22" s="13">
        <f>IF(입력값!$B$99="비례",MAX(0,AI19-AI20)/입력값!$B$98,ROUNDUP(MAX(0,AI19-AI20)/입력값!$B$98,0))</f>
        <v/>
      </c>
      <c r="AJ22" s="13">
        <f>IF(입력값!$B$99="비례",MAX(0,AJ19-AJ20)/입력값!$B$98,ROUNDUP(MAX(0,AJ19-AJ20)/입력값!$B$98,0))</f>
        <v/>
      </c>
      <c r="AK22" s="13">
        <f>IF(입력값!$B$99="비례",MAX(0,AK19-AK20)/입력값!$B$98,ROUNDUP(MAX(0,AK19-AK20)/입력값!$B$98,0))</f>
        <v/>
      </c>
      <c r="AL22" s="13">
        <f>IF(입력값!$B$99="비례",MAX(0,AL19-AL20)/입력값!$B$98,ROUNDUP(MAX(0,AL19-AL20)/입력값!$B$98,0))</f>
        <v/>
      </c>
      <c r="AM22" s="13">
        <f>IF(입력값!$B$99="비례",MAX(0,AM19-AM20)/입력값!$B$98,ROUNDUP(MAX(0,AM19-AM20)/입력값!$B$98,0))</f>
        <v/>
      </c>
      <c r="AN22" s="13">
        <f>IF(입력값!$B$99="비례",MAX(0,AN19-AN20)/입력값!$B$98,ROUNDUP(MAX(0,AN19-AN20)/입력값!$B$98,0))</f>
        <v/>
      </c>
      <c r="AO22" s="13">
        <f>IF(입력값!$B$99="비례",MAX(0,AO19-AO20)/입력값!$B$98,ROUNDUP(MAX(0,AO19-AO20)/입력값!$B$98,0))</f>
        <v/>
      </c>
      <c r="AP22" s="13">
        <f>IF(입력값!$B$99="비례",MAX(0,AP19-AP20)/입력값!$B$98,ROUNDUP(MAX(0,AP19-AP20)/입력값!$B$98,0))</f>
        <v/>
      </c>
      <c r="AQ22" s="13">
        <f>IF(입력값!$B$99="비례",MAX(0,AQ19-AQ20)/입력값!$B$98,ROUNDUP(MAX(0,AQ19-AQ20)/입력값!$B$98,0))</f>
        <v/>
      </c>
      <c r="AR22" s="13">
        <f>IF(입력값!$B$99="비례",MAX(0,AR19-AR20)/입력값!$B$98,ROUNDUP(MAX(0,AR19-AR20)/입력값!$B$98,0))</f>
        <v/>
      </c>
      <c r="AS22" s="13">
        <f>IF(입력값!$B$99="비례",MAX(0,AS19-AS20)/입력값!$B$98,ROUNDUP(MAX(0,AS19-AS20)/입력값!$B$98,0))</f>
        <v/>
      </c>
      <c r="AT22" s="13">
        <f>IF(입력값!$B$99="비례",MAX(0,AT19-AT20)/입력값!$B$98,ROUNDUP(MAX(0,AT19-AT20)/입력값!$B$98,0))</f>
        <v/>
      </c>
      <c r="AU22" s="13">
        <f>IF(입력값!$B$99="비례",MAX(0,AU19-AU20)/입력값!$B$98,ROUNDUP(MAX(0,AU19-AU20)/입력값!$B$98,0))</f>
        <v/>
      </c>
      <c r="AV22" s="13">
        <f>IF(입력값!$B$99="비례",MAX(0,AV19-AV20)/입력값!$B$98,ROUNDUP(MAX(0,AV19-AV20)/입력값!$B$98,0))</f>
        <v/>
      </c>
      <c r="AW22" s="13">
        <f>IF(입력값!$B$99="비례",MAX(0,AW19-AW20)/입력값!$B$98,ROUNDUP(MAX(0,AW19-AW20)/입력값!$B$98,0))</f>
        <v/>
      </c>
      <c r="AX22" s="13">
        <f>IF(입력값!$B$99="비례",MAX(0,AX19-AX20)/입력값!$B$98,ROUNDUP(MAX(0,AX19-AX20)/입력값!$B$98,0))</f>
        <v/>
      </c>
      <c r="AY22" s="13">
        <f>IF(입력값!$B$99="비례",MAX(0,AY19-AY20)/입력값!$B$98,ROUNDUP(MAX(0,AY19-AY20)/입력값!$B$98,0))</f>
        <v/>
      </c>
      <c r="AZ22" s="13">
        <f>IF(입력값!$B$99="비례",MAX(0,AZ19-AZ20)/입력값!$B$98,ROUNDUP(MAX(0,AZ19-AZ20)/입력값!$B$98,0))</f>
        <v/>
      </c>
      <c r="BA22" s="13">
        <f>IF(입력값!$B$99="비례",MAX(0,BA19-BA20)/입력값!$B$98,ROUNDUP(MAX(0,BA19-BA20)/입력값!$B$98,0))</f>
        <v/>
      </c>
      <c r="BB22" s="13">
        <f>IF(입력값!$B$99="비례",MAX(0,BB19-BB20)/입력값!$B$98,ROUNDUP(MAX(0,BB19-BB20)/입력값!$B$98,0))</f>
        <v/>
      </c>
      <c r="BC22" s="13">
        <f>IF(입력값!$B$99="비례",MAX(0,BC19-BC20)/입력값!$B$98,ROUNDUP(MAX(0,BC19-BC20)/입력값!$B$98,0))</f>
        <v/>
      </c>
      <c r="BD22" s="13">
        <f>IF(입력값!$B$99="비례",MAX(0,BD19-BD20)/입력값!$B$98,ROUNDUP(MAX(0,BD19-BD20)/입력값!$B$98,0))</f>
        <v/>
      </c>
      <c r="BE22" s="13">
        <f>IF(입력값!$B$99="비례",MAX(0,BE19-BE20)/입력값!$B$98,ROUNDUP(MAX(0,BE19-BE20)/입력값!$B$98,0))</f>
        <v/>
      </c>
      <c r="BF22" s="13">
        <f>IF(입력값!$B$99="비례",MAX(0,BF19-BF20)/입력값!$B$98,ROUNDUP(MAX(0,BF19-BF20)/입력값!$B$98,0))</f>
        <v/>
      </c>
      <c r="BG22" s="13">
        <f>IF(입력값!$B$99="비례",MAX(0,BG19-BG20)/입력값!$B$98,ROUNDUP(MAX(0,BG19-BG20)/입력값!$B$98,0))</f>
        <v/>
      </c>
      <c r="BH22" s="13">
        <f>IF(입력값!$B$99="비례",MAX(0,BH19-BH20)/입력값!$B$98,ROUNDUP(MAX(0,BH19-BH20)/입력값!$B$98,0))</f>
        <v/>
      </c>
      <c r="BI22" s="13">
        <f>IF(입력값!$B$99="비례",MAX(0,BI19-BI20)/입력값!$B$98,ROUNDUP(MAX(0,BI19-BI20)/입력값!$B$98,0))</f>
        <v/>
      </c>
      <c r="BJ22" s="13">
        <f>IF(입력값!$B$99="비례",MAX(0,BJ19-BJ20)/입력값!$B$98,ROUNDUP(MAX(0,BJ19-BJ20)/입력값!$B$98,0))</f>
        <v/>
      </c>
    </row>
    <row r="23">
      <c r="A23" s="25" t="inlineStr">
        <is>
          <t>Enterprise 전담 CSM (명)</t>
        </is>
      </c>
      <c r="C23" s="13">
        <f>SUMIFS(입력값!$D$113:$D$117,입력값!$B$113:$B$117,"&lt;="&amp;C4,입력값!$B$113:$B$117,"&gt;0")</f>
        <v/>
      </c>
      <c r="D23" s="13">
        <f>SUMIFS(입력값!$D$113:$D$117,입력값!$B$113:$B$117,"&lt;="&amp;D4,입력값!$B$113:$B$117,"&gt;0")</f>
        <v/>
      </c>
      <c r="E23" s="13">
        <f>SUMIFS(입력값!$D$113:$D$117,입력값!$B$113:$B$117,"&lt;="&amp;E4,입력값!$B$113:$B$117,"&gt;0")</f>
        <v/>
      </c>
      <c r="F23" s="13">
        <f>SUMIFS(입력값!$D$113:$D$117,입력값!$B$113:$B$117,"&lt;="&amp;F4,입력값!$B$113:$B$117,"&gt;0")</f>
        <v/>
      </c>
      <c r="G23" s="13">
        <f>SUMIFS(입력값!$D$113:$D$117,입력값!$B$113:$B$117,"&lt;="&amp;G4,입력값!$B$113:$B$117,"&gt;0")</f>
        <v/>
      </c>
      <c r="H23" s="13">
        <f>SUMIFS(입력값!$D$113:$D$117,입력값!$B$113:$B$117,"&lt;="&amp;H4,입력값!$B$113:$B$117,"&gt;0")</f>
        <v/>
      </c>
      <c r="I23" s="13">
        <f>SUMIFS(입력값!$D$113:$D$117,입력값!$B$113:$B$117,"&lt;="&amp;I4,입력값!$B$113:$B$117,"&gt;0")</f>
        <v/>
      </c>
      <c r="J23" s="13">
        <f>SUMIFS(입력값!$D$113:$D$117,입력값!$B$113:$B$117,"&lt;="&amp;J4,입력값!$B$113:$B$117,"&gt;0")</f>
        <v/>
      </c>
      <c r="K23" s="13">
        <f>SUMIFS(입력값!$D$113:$D$117,입력값!$B$113:$B$117,"&lt;="&amp;K4,입력값!$B$113:$B$117,"&gt;0")</f>
        <v/>
      </c>
      <c r="L23" s="13">
        <f>SUMIFS(입력값!$D$113:$D$117,입력값!$B$113:$B$117,"&lt;="&amp;L4,입력값!$B$113:$B$117,"&gt;0")</f>
        <v/>
      </c>
      <c r="M23" s="13">
        <f>SUMIFS(입력값!$D$113:$D$117,입력값!$B$113:$B$117,"&lt;="&amp;M4,입력값!$B$113:$B$117,"&gt;0")</f>
        <v/>
      </c>
      <c r="N23" s="13">
        <f>SUMIFS(입력값!$D$113:$D$117,입력값!$B$113:$B$117,"&lt;="&amp;N4,입력값!$B$113:$B$117,"&gt;0")</f>
        <v/>
      </c>
      <c r="O23" s="13">
        <f>SUMIFS(입력값!$D$113:$D$117,입력값!$B$113:$B$117,"&lt;="&amp;O4,입력값!$B$113:$B$117,"&gt;0")</f>
        <v/>
      </c>
      <c r="P23" s="13">
        <f>SUMIFS(입력값!$D$113:$D$117,입력값!$B$113:$B$117,"&lt;="&amp;P4,입력값!$B$113:$B$117,"&gt;0")</f>
        <v/>
      </c>
      <c r="Q23" s="13">
        <f>SUMIFS(입력값!$D$113:$D$117,입력값!$B$113:$B$117,"&lt;="&amp;Q4,입력값!$B$113:$B$117,"&gt;0")</f>
        <v/>
      </c>
      <c r="R23" s="13">
        <f>SUMIFS(입력값!$D$113:$D$117,입력값!$B$113:$B$117,"&lt;="&amp;R4,입력값!$B$113:$B$117,"&gt;0")</f>
        <v/>
      </c>
      <c r="S23" s="13">
        <f>SUMIFS(입력값!$D$113:$D$117,입력값!$B$113:$B$117,"&lt;="&amp;S4,입력값!$B$113:$B$117,"&gt;0")</f>
        <v/>
      </c>
      <c r="T23" s="13">
        <f>SUMIFS(입력값!$D$113:$D$117,입력값!$B$113:$B$117,"&lt;="&amp;T4,입력값!$B$113:$B$117,"&gt;0")</f>
        <v/>
      </c>
      <c r="U23" s="13">
        <f>SUMIFS(입력값!$D$113:$D$117,입력값!$B$113:$B$117,"&lt;="&amp;U4,입력값!$B$113:$B$117,"&gt;0")</f>
        <v/>
      </c>
      <c r="V23" s="13">
        <f>SUMIFS(입력값!$D$113:$D$117,입력값!$B$113:$B$117,"&lt;="&amp;V4,입력값!$B$113:$B$117,"&gt;0")</f>
        <v/>
      </c>
      <c r="W23" s="13">
        <f>SUMIFS(입력값!$D$113:$D$117,입력값!$B$113:$B$117,"&lt;="&amp;W4,입력값!$B$113:$B$117,"&gt;0")</f>
        <v/>
      </c>
      <c r="X23" s="13">
        <f>SUMIFS(입력값!$D$113:$D$117,입력값!$B$113:$B$117,"&lt;="&amp;X4,입력값!$B$113:$B$117,"&gt;0")</f>
        <v/>
      </c>
      <c r="Y23" s="13">
        <f>SUMIFS(입력값!$D$113:$D$117,입력값!$B$113:$B$117,"&lt;="&amp;Y4,입력값!$B$113:$B$117,"&gt;0")</f>
        <v/>
      </c>
      <c r="Z23" s="13">
        <f>SUMIFS(입력값!$D$113:$D$117,입력값!$B$113:$B$117,"&lt;="&amp;Z4,입력값!$B$113:$B$117,"&gt;0")</f>
        <v/>
      </c>
      <c r="AA23" s="13">
        <f>SUMIFS(입력값!$D$113:$D$117,입력값!$B$113:$B$117,"&lt;="&amp;AA4,입력값!$B$113:$B$117,"&gt;0")</f>
        <v/>
      </c>
      <c r="AB23" s="13">
        <f>SUMIFS(입력값!$D$113:$D$117,입력값!$B$113:$B$117,"&lt;="&amp;AB4,입력값!$B$113:$B$117,"&gt;0")</f>
        <v/>
      </c>
      <c r="AC23" s="13">
        <f>SUMIFS(입력값!$D$113:$D$117,입력값!$B$113:$B$117,"&lt;="&amp;AC4,입력값!$B$113:$B$117,"&gt;0")</f>
        <v/>
      </c>
      <c r="AD23" s="13">
        <f>SUMIFS(입력값!$D$113:$D$117,입력값!$B$113:$B$117,"&lt;="&amp;AD4,입력값!$B$113:$B$117,"&gt;0")</f>
        <v/>
      </c>
      <c r="AE23" s="13">
        <f>SUMIFS(입력값!$D$113:$D$117,입력값!$B$113:$B$117,"&lt;="&amp;AE4,입력값!$B$113:$B$117,"&gt;0")</f>
        <v/>
      </c>
      <c r="AF23" s="13">
        <f>SUMIFS(입력값!$D$113:$D$117,입력값!$B$113:$B$117,"&lt;="&amp;AF4,입력값!$B$113:$B$117,"&gt;0")</f>
        <v/>
      </c>
      <c r="AG23" s="13">
        <f>SUMIFS(입력값!$D$113:$D$117,입력값!$B$113:$B$117,"&lt;="&amp;AG4,입력값!$B$113:$B$117,"&gt;0")</f>
        <v/>
      </c>
      <c r="AH23" s="13">
        <f>SUMIFS(입력값!$D$113:$D$117,입력값!$B$113:$B$117,"&lt;="&amp;AH4,입력값!$B$113:$B$117,"&gt;0")</f>
        <v/>
      </c>
      <c r="AI23" s="13">
        <f>SUMIFS(입력값!$D$113:$D$117,입력값!$B$113:$B$117,"&lt;="&amp;AI4,입력값!$B$113:$B$117,"&gt;0")</f>
        <v/>
      </c>
      <c r="AJ23" s="13">
        <f>SUMIFS(입력값!$D$113:$D$117,입력값!$B$113:$B$117,"&lt;="&amp;AJ4,입력값!$B$113:$B$117,"&gt;0")</f>
        <v/>
      </c>
      <c r="AK23" s="13">
        <f>SUMIFS(입력값!$D$113:$D$117,입력값!$B$113:$B$117,"&lt;="&amp;AK4,입력값!$B$113:$B$117,"&gt;0")</f>
        <v/>
      </c>
      <c r="AL23" s="13">
        <f>SUMIFS(입력값!$D$113:$D$117,입력값!$B$113:$B$117,"&lt;="&amp;AL4,입력값!$B$113:$B$117,"&gt;0")</f>
        <v/>
      </c>
      <c r="AM23" s="13">
        <f>SUMIFS(입력값!$D$113:$D$117,입력값!$B$113:$B$117,"&lt;="&amp;AM4,입력값!$B$113:$B$117,"&gt;0")</f>
        <v/>
      </c>
      <c r="AN23" s="13">
        <f>SUMIFS(입력값!$D$113:$D$117,입력값!$B$113:$B$117,"&lt;="&amp;AN4,입력값!$B$113:$B$117,"&gt;0")</f>
        <v/>
      </c>
      <c r="AO23" s="13">
        <f>SUMIFS(입력값!$D$113:$D$117,입력값!$B$113:$B$117,"&lt;="&amp;AO4,입력값!$B$113:$B$117,"&gt;0")</f>
        <v/>
      </c>
      <c r="AP23" s="13">
        <f>SUMIFS(입력값!$D$113:$D$117,입력값!$B$113:$B$117,"&lt;="&amp;AP4,입력값!$B$113:$B$117,"&gt;0")</f>
        <v/>
      </c>
      <c r="AQ23" s="13">
        <f>SUMIFS(입력값!$D$113:$D$117,입력값!$B$113:$B$117,"&lt;="&amp;AQ4,입력값!$B$113:$B$117,"&gt;0")</f>
        <v/>
      </c>
      <c r="AR23" s="13">
        <f>SUMIFS(입력값!$D$113:$D$117,입력값!$B$113:$B$117,"&lt;="&amp;AR4,입력값!$B$113:$B$117,"&gt;0")</f>
        <v/>
      </c>
      <c r="AS23" s="13">
        <f>SUMIFS(입력값!$D$113:$D$117,입력값!$B$113:$B$117,"&lt;="&amp;AS4,입력값!$B$113:$B$117,"&gt;0")</f>
        <v/>
      </c>
      <c r="AT23" s="13">
        <f>SUMIFS(입력값!$D$113:$D$117,입력값!$B$113:$B$117,"&lt;="&amp;AT4,입력값!$B$113:$B$117,"&gt;0")</f>
        <v/>
      </c>
      <c r="AU23" s="13">
        <f>SUMIFS(입력값!$D$113:$D$117,입력값!$B$113:$B$117,"&lt;="&amp;AU4,입력값!$B$113:$B$117,"&gt;0")</f>
        <v/>
      </c>
      <c r="AV23" s="13">
        <f>SUMIFS(입력값!$D$113:$D$117,입력값!$B$113:$B$117,"&lt;="&amp;AV4,입력값!$B$113:$B$117,"&gt;0")</f>
        <v/>
      </c>
      <c r="AW23" s="13">
        <f>SUMIFS(입력값!$D$113:$D$117,입력값!$B$113:$B$117,"&lt;="&amp;AW4,입력값!$B$113:$B$117,"&gt;0")</f>
        <v/>
      </c>
      <c r="AX23" s="13">
        <f>SUMIFS(입력값!$D$113:$D$117,입력값!$B$113:$B$117,"&lt;="&amp;AX4,입력값!$B$113:$B$117,"&gt;0")</f>
        <v/>
      </c>
      <c r="AY23" s="13">
        <f>SUMIFS(입력값!$D$113:$D$117,입력값!$B$113:$B$117,"&lt;="&amp;AY4,입력값!$B$113:$B$117,"&gt;0")</f>
        <v/>
      </c>
      <c r="AZ23" s="13">
        <f>SUMIFS(입력값!$D$113:$D$117,입력값!$B$113:$B$117,"&lt;="&amp;AZ4,입력값!$B$113:$B$117,"&gt;0")</f>
        <v/>
      </c>
      <c r="BA23" s="13">
        <f>SUMIFS(입력값!$D$113:$D$117,입력값!$B$113:$B$117,"&lt;="&amp;BA4,입력값!$B$113:$B$117,"&gt;0")</f>
        <v/>
      </c>
      <c r="BB23" s="13">
        <f>SUMIFS(입력값!$D$113:$D$117,입력값!$B$113:$B$117,"&lt;="&amp;BB4,입력값!$B$113:$B$117,"&gt;0")</f>
        <v/>
      </c>
      <c r="BC23" s="13">
        <f>SUMIFS(입력값!$D$113:$D$117,입력값!$B$113:$B$117,"&lt;="&amp;BC4,입력값!$B$113:$B$117,"&gt;0")</f>
        <v/>
      </c>
      <c r="BD23" s="13">
        <f>SUMIFS(입력값!$D$113:$D$117,입력값!$B$113:$B$117,"&lt;="&amp;BD4,입력값!$B$113:$B$117,"&gt;0")</f>
        <v/>
      </c>
      <c r="BE23" s="13">
        <f>SUMIFS(입력값!$D$113:$D$117,입력값!$B$113:$B$117,"&lt;="&amp;BE4,입력값!$B$113:$B$117,"&gt;0")</f>
        <v/>
      </c>
      <c r="BF23" s="13">
        <f>SUMIFS(입력값!$D$113:$D$117,입력값!$B$113:$B$117,"&lt;="&amp;BF4,입력값!$B$113:$B$117,"&gt;0")</f>
        <v/>
      </c>
      <c r="BG23" s="13">
        <f>SUMIFS(입력값!$D$113:$D$117,입력값!$B$113:$B$117,"&lt;="&amp;BG4,입력값!$B$113:$B$117,"&gt;0")</f>
        <v/>
      </c>
      <c r="BH23" s="13">
        <f>SUMIFS(입력값!$D$113:$D$117,입력값!$B$113:$B$117,"&lt;="&amp;BH4,입력값!$B$113:$B$117,"&gt;0")</f>
        <v/>
      </c>
      <c r="BI23" s="13">
        <f>SUMIFS(입력값!$D$113:$D$117,입력값!$B$113:$B$117,"&lt;="&amp;BI4,입력값!$B$113:$B$117,"&gt;0")</f>
        <v/>
      </c>
      <c r="BJ23" s="13">
        <f>SUMIFS(입력값!$D$113:$D$117,입력값!$B$113:$B$117,"&lt;="&amp;BJ4,입력값!$B$113:$B$117,"&gt;0")</f>
        <v/>
      </c>
    </row>
    <row r="24">
      <c r="A24" s="18" t="inlineStr">
        <is>
          <t>손익 (원)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</row>
    <row r="25">
      <c r="A25" s="25" t="inlineStr">
        <is>
          <t>매출</t>
        </is>
      </c>
      <c r="C25" s="20">
        <f>(C13*입력값!$F$6+C14*입력값!$F$7+C15*입력값!$F$8+C16*입력값!$F$9)*입력값!$B$18</f>
        <v/>
      </c>
      <c r="D25" s="20">
        <f>(D13*입력값!$F$6+D14*입력값!$F$7+D15*입력값!$F$8+D16*입력값!$F$9)*입력값!$B$18</f>
        <v/>
      </c>
      <c r="E25" s="20">
        <f>(E13*입력값!$F$6+E14*입력값!$F$7+E15*입력값!$F$8+E16*입력값!$F$9)*입력값!$B$18</f>
        <v/>
      </c>
      <c r="F25" s="20">
        <f>(F13*입력값!$F$6+F14*입력값!$F$7+F15*입력값!$F$8+F16*입력값!$F$9)*입력값!$B$18</f>
        <v/>
      </c>
      <c r="G25" s="20">
        <f>(G13*입력값!$F$6+G14*입력값!$F$7+G15*입력값!$F$8+G16*입력값!$F$9)*입력값!$B$18</f>
        <v/>
      </c>
      <c r="H25" s="20">
        <f>(H13*입력값!$F$6+H14*입력값!$F$7+H15*입력값!$F$8+H16*입력값!$F$9)*입력값!$B$18</f>
        <v/>
      </c>
      <c r="I25" s="20">
        <f>(I13*입력값!$F$6+I14*입력값!$F$7+I15*입력값!$F$8+I16*입력값!$F$9)*입력값!$B$18</f>
        <v/>
      </c>
      <c r="J25" s="20">
        <f>(J13*입력값!$F$6+J14*입력값!$F$7+J15*입력값!$F$8+J16*입력값!$F$9)*입력값!$B$18</f>
        <v/>
      </c>
      <c r="K25" s="20">
        <f>(K13*입력값!$F$6+K14*입력값!$F$7+K15*입력값!$F$8+K16*입력값!$F$9)*입력값!$B$18</f>
        <v/>
      </c>
      <c r="L25" s="20">
        <f>(L13*입력값!$F$6+L14*입력값!$F$7+L15*입력값!$F$8+L16*입력값!$F$9)*입력값!$B$18</f>
        <v/>
      </c>
      <c r="M25" s="20">
        <f>(M13*입력값!$F$6+M14*입력값!$F$7+M15*입력값!$F$8+M16*입력값!$F$9)*입력값!$B$18</f>
        <v/>
      </c>
      <c r="N25" s="20">
        <f>(N13*입력값!$F$6+N14*입력값!$F$7+N15*입력값!$F$8+N16*입력값!$F$9)*입력값!$B$18</f>
        <v/>
      </c>
      <c r="O25" s="20">
        <f>(O13*입력값!$F$6+O14*입력값!$F$7+O15*입력값!$F$8+O16*입력값!$F$9)*입력값!$B$18</f>
        <v/>
      </c>
      <c r="P25" s="20">
        <f>(P13*입력값!$F$6+P14*입력값!$F$7+P15*입력값!$F$8+P16*입력값!$F$9)*입력값!$B$18</f>
        <v/>
      </c>
      <c r="Q25" s="20">
        <f>(Q13*입력값!$F$6+Q14*입력값!$F$7+Q15*입력값!$F$8+Q16*입력값!$F$9)*입력값!$B$18</f>
        <v/>
      </c>
      <c r="R25" s="20">
        <f>(R13*입력값!$F$6+R14*입력값!$F$7+R15*입력값!$F$8+R16*입력값!$F$9)*입력값!$B$18</f>
        <v/>
      </c>
      <c r="S25" s="20">
        <f>(S13*입력값!$F$6+S14*입력값!$F$7+S15*입력값!$F$8+S16*입력값!$F$9)*입력값!$B$18</f>
        <v/>
      </c>
      <c r="T25" s="20">
        <f>(T13*입력값!$F$6+T14*입력값!$F$7+T15*입력값!$F$8+T16*입력값!$F$9)*입력값!$B$18</f>
        <v/>
      </c>
      <c r="U25" s="20">
        <f>(U13*입력값!$F$6+U14*입력값!$F$7+U15*입력값!$F$8+U16*입력값!$F$9)*입력값!$B$18</f>
        <v/>
      </c>
      <c r="V25" s="20">
        <f>(V13*입력값!$F$6+V14*입력값!$F$7+V15*입력값!$F$8+V16*입력값!$F$9)*입력값!$B$18</f>
        <v/>
      </c>
      <c r="W25" s="20">
        <f>(W13*입력값!$F$6+W14*입력값!$F$7+W15*입력값!$F$8+W16*입력값!$F$9)*입력값!$B$18</f>
        <v/>
      </c>
      <c r="X25" s="20">
        <f>(X13*입력값!$F$6+X14*입력값!$F$7+X15*입력값!$F$8+X16*입력값!$F$9)*입력값!$B$18</f>
        <v/>
      </c>
      <c r="Y25" s="20">
        <f>(Y13*입력값!$F$6+Y14*입력값!$F$7+Y15*입력값!$F$8+Y16*입력값!$F$9)*입력값!$B$18</f>
        <v/>
      </c>
      <c r="Z25" s="20">
        <f>(Z13*입력값!$F$6+Z14*입력값!$F$7+Z15*입력값!$F$8+Z16*입력값!$F$9)*입력값!$B$18</f>
        <v/>
      </c>
      <c r="AA25" s="20">
        <f>(AA13*입력값!$F$6+AA14*입력값!$F$7+AA15*입력값!$F$8+AA16*입력값!$F$9)*입력값!$B$18</f>
        <v/>
      </c>
      <c r="AB25" s="20">
        <f>(AB13*입력값!$F$6+AB14*입력값!$F$7+AB15*입력값!$F$8+AB16*입력값!$F$9)*입력값!$B$18</f>
        <v/>
      </c>
      <c r="AC25" s="20">
        <f>(AC13*입력값!$F$6+AC14*입력값!$F$7+AC15*입력값!$F$8+AC16*입력값!$F$9)*입력값!$B$18</f>
        <v/>
      </c>
      <c r="AD25" s="20">
        <f>(AD13*입력값!$F$6+AD14*입력값!$F$7+AD15*입력값!$F$8+AD16*입력값!$F$9)*입력값!$B$18</f>
        <v/>
      </c>
      <c r="AE25" s="20">
        <f>(AE13*입력값!$F$6+AE14*입력값!$F$7+AE15*입력값!$F$8+AE16*입력값!$F$9)*입력값!$B$18</f>
        <v/>
      </c>
      <c r="AF25" s="20">
        <f>(AF13*입력값!$F$6+AF14*입력값!$F$7+AF15*입력값!$F$8+AF16*입력값!$F$9)*입력값!$B$18</f>
        <v/>
      </c>
      <c r="AG25" s="20">
        <f>(AG13*입력값!$F$6+AG14*입력값!$F$7+AG15*입력값!$F$8+AG16*입력값!$F$9)*입력값!$B$18</f>
        <v/>
      </c>
      <c r="AH25" s="20">
        <f>(AH13*입력값!$F$6+AH14*입력값!$F$7+AH15*입력값!$F$8+AH16*입력값!$F$9)*입력값!$B$18</f>
        <v/>
      </c>
      <c r="AI25" s="20">
        <f>(AI13*입력값!$F$6+AI14*입력값!$F$7+AI15*입력값!$F$8+AI16*입력값!$F$9)*입력값!$B$18</f>
        <v/>
      </c>
      <c r="AJ25" s="20">
        <f>(AJ13*입력값!$F$6+AJ14*입력값!$F$7+AJ15*입력값!$F$8+AJ16*입력값!$F$9)*입력값!$B$18</f>
        <v/>
      </c>
      <c r="AK25" s="20">
        <f>(AK13*입력값!$F$6+AK14*입력값!$F$7+AK15*입력값!$F$8+AK16*입력값!$F$9)*입력값!$B$18</f>
        <v/>
      </c>
      <c r="AL25" s="20">
        <f>(AL13*입력값!$F$6+AL14*입력값!$F$7+AL15*입력값!$F$8+AL16*입력값!$F$9)*입력값!$B$18</f>
        <v/>
      </c>
      <c r="AM25" s="20">
        <f>(AM13*입력값!$F$6+AM14*입력값!$F$7+AM15*입력값!$F$8+AM16*입력값!$F$9)*입력값!$B$18</f>
        <v/>
      </c>
      <c r="AN25" s="20">
        <f>(AN13*입력값!$F$6+AN14*입력값!$F$7+AN15*입력값!$F$8+AN16*입력값!$F$9)*입력값!$B$18</f>
        <v/>
      </c>
      <c r="AO25" s="20">
        <f>(AO13*입력값!$F$6+AO14*입력값!$F$7+AO15*입력값!$F$8+AO16*입력값!$F$9)*입력값!$B$18</f>
        <v/>
      </c>
      <c r="AP25" s="20">
        <f>(AP13*입력값!$F$6+AP14*입력값!$F$7+AP15*입력값!$F$8+AP16*입력값!$F$9)*입력값!$B$18</f>
        <v/>
      </c>
      <c r="AQ25" s="20">
        <f>(AQ13*입력값!$F$6+AQ14*입력값!$F$7+AQ15*입력값!$F$8+AQ16*입력값!$F$9)*입력값!$B$18</f>
        <v/>
      </c>
      <c r="AR25" s="20">
        <f>(AR13*입력값!$F$6+AR14*입력값!$F$7+AR15*입력값!$F$8+AR16*입력값!$F$9)*입력값!$B$18</f>
        <v/>
      </c>
      <c r="AS25" s="20">
        <f>(AS13*입력값!$F$6+AS14*입력값!$F$7+AS15*입력값!$F$8+AS16*입력값!$F$9)*입력값!$B$18</f>
        <v/>
      </c>
      <c r="AT25" s="20">
        <f>(AT13*입력값!$F$6+AT14*입력값!$F$7+AT15*입력값!$F$8+AT16*입력값!$F$9)*입력값!$B$18</f>
        <v/>
      </c>
      <c r="AU25" s="20">
        <f>(AU13*입력값!$F$6+AU14*입력값!$F$7+AU15*입력값!$F$8+AU16*입력값!$F$9)*입력값!$B$18</f>
        <v/>
      </c>
      <c r="AV25" s="20">
        <f>(AV13*입력값!$F$6+AV14*입력값!$F$7+AV15*입력값!$F$8+AV16*입력값!$F$9)*입력값!$B$18</f>
        <v/>
      </c>
      <c r="AW25" s="20">
        <f>(AW13*입력값!$F$6+AW14*입력값!$F$7+AW15*입력값!$F$8+AW16*입력값!$F$9)*입력값!$B$18</f>
        <v/>
      </c>
      <c r="AX25" s="20">
        <f>(AX13*입력값!$F$6+AX14*입력값!$F$7+AX15*입력값!$F$8+AX16*입력값!$F$9)*입력값!$B$18</f>
        <v/>
      </c>
      <c r="AY25" s="20">
        <f>(AY13*입력값!$F$6+AY14*입력값!$F$7+AY15*입력값!$F$8+AY16*입력값!$F$9)*입력값!$B$18</f>
        <v/>
      </c>
      <c r="AZ25" s="20">
        <f>(AZ13*입력값!$F$6+AZ14*입력값!$F$7+AZ15*입력값!$F$8+AZ16*입력값!$F$9)*입력값!$B$18</f>
        <v/>
      </c>
      <c r="BA25" s="20">
        <f>(BA13*입력값!$F$6+BA14*입력값!$F$7+BA15*입력값!$F$8+BA16*입력값!$F$9)*입력값!$B$18</f>
        <v/>
      </c>
      <c r="BB25" s="20">
        <f>(BB13*입력값!$F$6+BB14*입력값!$F$7+BB15*입력값!$F$8+BB16*입력값!$F$9)*입력값!$B$18</f>
        <v/>
      </c>
      <c r="BC25" s="20">
        <f>(BC13*입력값!$F$6+BC14*입력값!$F$7+BC15*입력값!$F$8+BC16*입력값!$F$9)*입력값!$B$18</f>
        <v/>
      </c>
      <c r="BD25" s="20">
        <f>(BD13*입력값!$F$6+BD14*입력값!$F$7+BD15*입력값!$F$8+BD16*입력값!$F$9)*입력값!$B$18</f>
        <v/>
      </c>
      <c r="BE25" s="20">
        <f>(BE13*입력값!$F$6+BE14*입력값!$F$7+BE15*입력값!$F$8+BE16*입력값!$F$9)*입력값!$B$18</f>
        <v/>
      </c>
      <c r="BF25" s="20">
        <f>(BF13*입력값!$F$6+BF14*입력값!$F$7+BF15*입력값!$F$8+BF16*입력값!$F$9)*입력값!$B$18</f>
        <v/>
      </c>
      <c r="BG25" s="20">
        <f>(BG13*입력값!$F$6+BG14*입력값!$F$7+BG15*입력값!$F$8+BG16*입력값!$F$9)*입력값!$B$18</f>
        <v/>
      </c>
      <c r="BH25" s="20">
        <f>(BH13*입력값!$F$6+BH14*입력값!$F$7+BH15*입력값!$F$8+BH16*입력값!$F$9)*입력값!$B$18</f>
        <v/>
      </c>
      <c r="BI25" s="20">
        <f>(BI13*입력값!$F$6+BI14*입력값!$F$7+BI15*입력값!$F$8+BI16*입력값!$F$9)*입력값!$B$18</f>
        <v/>
      </c>
      <c r="BJ25" s="20">
        <f>(BJ13*입력값!$F$6+BJ14*입력값!$F$7+BJ15*입력값!$F$8+BJ16*입력값!$F$9)*입력값!$B$18</f>
        <v/>
      </c>
    </row>
    <row r="26">
      <c r="A26" s="25" t="inlineStr">
        <is>
          <t>구축비 청구 수입 (Enterprise)</t>
        </is>
      </c>
      <c r="C26" s="20">
        <f>C12*입력값!$B$106</f>
        <v/>
      </c>
      <c r="D26" s="20">
        <f>D12*입력값!$B$106</f>
        <v/>
      </c>
      <c r="E26" s="20">
        <f>E12*입력값!$B$106</f>
        <v/>
      </c>
      <c r="F26" s="20">
        <f>F12*입력값!$B$106</f>
        <v/>
      </c>
      <c r="G26" s="20">
        <f>G12*입력값!$B$106</f>
        <v/>
      </c>
      <c r="H26" s="20">
        <f>H12*입력값!$B$106</f>
        <v/>
      </c>
      <c r="I26" s="20">
        <f>I12*입력값!$B$106</f>
        <v/>
      </c>
      <c r="J26" s="20">
        <f>J12*입력값!$B$106</f>
        <v/>
      </c>
      <c r="K26" s="20">
        <f>K12*입력값!$B$106</f>
        <v/>
      </c>
      <c r="L26" s="20">
        <f>L12*입력값!$B$106</f>
        <v/>
      </c>
      <c r="M26" s="20">
        <f>M12*입력값!$B$106</f>
        <v/>
      </c>
      <c r="N26" s="20">
        <f>N12*입력값!$B$106</f>
        <v/>
      </c>
      <c r="O26" s="20">
        <f>O12*입력값!$B$106</f>
        <v/>
      </c>
      <c r="P26" s="20">
        <f>P12*입력값!$B$106</f>
        <v/>
      </c>
      <c r="Q26" s="20">
        <f>Q12*입력값!$B$106</f>
        <v/>
      </c>
      <c r="R26" s="20">
        <f>R12*입력값!$B$106</f>
        <v/>
      </c>
      <c r="S26" s="20">
        <f>S12*입력값!$B$106</f>
        <v/>
      </c>
      <c r="T26" s="20">
        <f>T12*입력값!$B$106</f>
        <v/>
      </c>
      <c r="U26" s="20">
        <f>U12*입력값!$B$106</f>
        <v/>
      </c>
      <c r="V26" s="20">
        <f>V12*입력값!$B$106</f>
        <v/>
      </c>
      <c r="W26" s="20">
        <f>W12*입력값!$B$106</f>
        <v/>
      </c>
      <c r="X26" s="20">
        <f>X12*입력값!$B$106</f>
        <v/>
      </c>
      <c r="Y26" s="20">
        <f>Y12*입력값!$B$106</f>
        <v/>
      </c>
      <c r="Z26" s="20">
        <f>Z12*입력값!$B$106</f>
        <v/>
      </c>
      <c r="AA26" s="20">
        <f>AA12*입력값!$B$106</f>
        <v/>
      </c>
      <c r="AB26" s="20">
        <f>AB12*입력값!$B$106</f>
        <v/>
      </c>
      <c r="AC26" s="20">
        <f>AC12*입력값!$B$106</f>
        <v/>
      </c>
      <c r="AD26" s="20">
        <f>AD12*입력값!$B$106</f>
        <v/>
      </c>
      <c r="AE26" s="20">
        <f>AE12*입력값!$B$106</f>
        <v/>
      </c>
      <c r="AF26" s="20">
        <f>AF12*입력값!$B$106</f>
        <v/>
      </c>
      <c r="AG26" s="20">
        <f>AG12*입력값!$B$106</f>
        <v/>
      </c>
      <c r="AH26" s="20">
        <f>AH12*입력값!$B$106</f>
        <v/>
      </c>
      <c r="AI26" s="20">
        <f>AI12*입력값!$B$106</f>
        <v/>
      </c>
      <c r="AJ26" s="20">
        <f>AJ12*입력값!$B$106</f>
        <v/>
      </c>
      <c r="AK26" s="20">
        <f>AK12*입력값!$B$106</f>
        <v/>
      </c>
      <c r="AL26" s="20">
        <f>AL12*입력값!$B$106</f>
        <v/>
      </c>
      <c r="AM26" s="20">
        <f>AM12*입력값!$B$106</f>
        <v/>
      </c>
      <c r="AN26" s="20">
        <f>AN12*입력값!$B$106</f>
        <v/>
      </c>
      <c r="AO26" s="20">
        <f>AO12*입력값!$B$106</f>
        <v/>
      </c>
      <c r="AP26" s="20">
        <f>AP12*입력값!$B$106</f>
        <v/>
      </c>
      <c r="AQ26" s="20">
        <f>AQ12*입력값!$B$106</f>
        <v/>
      </c>
      <c r="AR26" s="20">
        <f>AR12*입력값!$B$106</f>
        <v/>
      </c>
      <c r="AS26" s="20">
        <f>AS12*입력값!$B$106</f>
        <v/>
      </c>
      <c r="AT26" s="20">
        <f>AT12*입력값!$B$106</f>
        <v/>
      </c>
      <c r="AU26" s="20">
        <f>AU12*입력값!$B$106</f>
        <v/>
      </c>
      <c r="AV26" s="20">
        <f>AV12*입력값!$B$106</f>
        <v/>
      </c>
      <c r="AW26" s="20">
        <f>AW12*입력값!$B$106</f>
        <v/>
      </c>
      <c r="AX26" s="20">
        <f>AX12*입력값!$B$106</f>
        <v/>
      </c>
      <c r="AY26" s="20">
        <f>AY12*입력값!$B$106</f>
        <v/>
      </c>
      <c r="AZ26" s="20">
        <f>AZ12*입력값!$B$106</f>
        <v/>
      </c>
      <c r="BA26" s="20">
        <f>BA12*입력값!$B$106</f>
        <v/>
      </c>
      <c r="BB26" s="20">
        <f>BB12*입력값!$B$106</f>
        <v/>
      </c>
      <c r="BC26" s="20">
        <f>BC12*입력값!$B$106</f>
        <v/>
      </c>
      <c r="BD26" s="20">
        <f>BD12*입력값!$B$106</f>
        <v/>
      </c>
      <c r="BE26" s="20">
        <f>BE12*입력값!$B$106</f>
        <v/>
      </c>
      <c r="BF26" s="20">
        <f>BF12*입력값!$B$106</f>
        <v/>
      </c>
      <c r="BG26" s="20">
        <f>BG12*입력값!$B$106</f>
        <v/>
      </c>
      <c r="BH26" s="20">
        <f>BH12*입력값!$B$106</f>
        <v/>
      </c>
      <c r="BI26" s="20">
        <f>BI12*입력값!$B$106</f>
        <v/>
      </c>
      <c r="BJ26" s="20">
        <f>BJ12*입력값!$B$106</f>
        <v/>
      </c>
    </row>
    <row r="27">
      <c r="A27" s="25" t="inlineStr">
        <is>
          <t>(−) 결제 수수료</t>
        </is>
      </c>
      <c r="C27" s="20">
        <f>-C25*입력값!$B$17</f>
        <v/>
      </c>
      <c r="D27" s="20">
        <f>-D25*입력값!$B$17</f>
        <v/>
      </c>
      <c r="E27" s="20">
        <f>-E25*입력값!$B$17</f>
        <v/>
      </c>
      <c r="F27" s="20">
        <f>-F25*입력값!$B$17</f>
        <v/>
      </c>
      <c r="G27" s="20">
        <f>-G25*입력값!$B$17</f>
        <v/>
      </c>
      <c r="H27" s="20">
        <f>-H25*입력값!$B$17</f>
        <v/>
      </c>
      <c r="I27" s="20">
        <f>-I25*입력값!$B$17</f>
        <v/>
      </c>
      <c r="J27" s="20">
        <f>-J25*입력값!$B$17</f>
        <v/>
      </c>
      <c r="K27" s="20">
        <f>-K25*입력값!$B$17</f>
        <v/>
      </c>
      <c r="L27" s="20">
        <f>-L25*입력값!$B$17</f>
        <v/>
      </c>
      <c r="M27" s="20">
        <f>-M25*입력값!$B$17</f>
        <v/>
      </c>
      <c r="N27" s="20">
        <f>-N25*입력값!$B$17</f>
        <v/>
      </c>
      <c r="O27" s="20">
        <f>-O25*입력값!$B$17</f>
        <v/>
      </c>
      <c r="P27" s="20">
        <f>-P25*입력값!$B$17</f>
        <v/>
      </c>
      <c r="Q27" s="20">
        <f>-Q25*입력값!$B$17</f>
        <v/>
      </c>
      <c r="R27" s="20">
        <f>-R25*입력값!$B$17</f>
        <v/>
      </c>
      <c r="S27" s="20">
        <f>-S25*입력값!$B$17</f>
        <v/>
      </c>
      <c r="T27" s="20">
        <f>-T25*입력값!$B$17</f>
        <v/>
      </c>
      <c r="U27" s="20">
        <f>-U25*입력값!$B$17</f>
        <v/>
      </c>
      <c r="V27" s="20">
        <f>-V25*입력값!$B$17</f>
        <v/>
      </c>
      <c r="W27" s="20">
        <f>-W25*입력값!$B$17</f>
        <v/>
      </c>
      <c r="X27" s="20">
        <f>-X25*입력값!$B$17</f>
        <v/>
      </c>
      <c r="Y27" s="20">
        <f>-Y25*입력값!$B$17</f>
        <v/>
      </c>
      <c r="Z27" s="20">
        <f>-Z25*입력값!$B$17</f>
        <v/>
      </c>
      <c r="AA27" s="20">
        <f>-AA25*입력값!$B$17</f>
        <v/>
      </c>
      <c r="AB27" s="20">
        <f>-AB25*입력값!$B$17</f>
        <v/>
      </c>
      <c r="AC27" s="20">
        <f>-AC25*입력값!$B$17</f>
        <v/>
      </c>
      <c r="AD27" s="20">
        <f>-AD25*입력값!$B$17</f>
        <v/>
      </c>
      <c r="AE27" s="20">
        <f>-AE25*입력값!$B$17</f>
        <v/>
      </c>
      <c r="AF27" s="20">
        <f>-AF25*입력값!$B$17</f>
        <v/>
      </c>
      <c r="AG27" s="20">
        <f>-AG25*입력값!$B$17</f>
        <v/>
      </c>
      <c r="AH27" s="20">
        <f>-AH25*입력값!$B$17</f>
        <v/>
      </c>
      <c r="AI27" s="20">
        <f>-AI25*입력값!$B$17</f>
        <v/>
      </c>
      <c r="AJ27" s="20">
        <f>-AJ25*입력값!$B$17</f>
        <v/>
      </c>
      <c r="AK27" s="20">
        <f>-AK25*입력값!$B$17</f>
        <v/>
      </c>
      <c r="AL27" s="20">
        <f>-AL25*입력값!$B$17</f>
        <v/>
      </c>
      <c r="AM27" s="20">
        <f>-AM25*입력값!$B$17</f>
        <v/>
      </c>
      <c r="AN27" s="20">
        <f>-AN25*입력값!$B$17</f>
        <v/>
      </c>
      <c r="AO27" s="20">
        <f>-AO25*입력값!$B$17</f>
        <v/>
      </c>
      <c r="AP27" s="20">
        <f>-AP25*입력값!$B$17</f>
        <v/>
      </c>
      <c r="AQ27" s="20">
        <f>-AQ25*입력값!$B$17</f>
        <v/>
      </c>
      <c r="AR27" s="20">
        <f>-AR25*입력값!$B$17</f>
        <v/>
      </c>
      <c r="AS27" s="20">
        <f>-AS25*입력값!$B$17</f>
        <v/>
      </c>
      <c r="AT27" s="20">
        <f>-AT25*입력값!$B$17</f>
        <v/>
      </c>
      <c r="AU27" s="20">
        <f>-AU25*입력값!$B$17</f>
        <v/>
      </c>
      <c r="AV27" s="20">
        <f>-AV25*입력값!$B$17</f>
        <v/>
      </c>
      <c r="AW27" s="20">
        <f>-AW25*입력값!$B$17</f>
        <v/>
      </c>
      <c r="AX27" s="20">
        <f>-AX25*입력값!$B$17</f>
        <v/>
      </c>
      <c r="AY27" s="20">
        <f>-AY25*입력값!$B$17</f>
        <v/>
      </c>
      <c r="AZ27" s="20">
        <f>-AZ25*입력값!$B$17</f>
        <v/>
      </c>
      <c r="BA27" s="20">
        <f>-BA25*입력값!$B$17</f>
        <v/>
      </c>
      <c r="BB27" s="20">
        <f>-BB25*입력값!$B$17</f>
        <v/>
      </c>
      <c r="BC27" s="20">
        <f>-BC25*입력값!$B$17</f>
        <v/>
      </c>
      <c r="BD27" s="20">
        <f>-BD25*입력값!$B$17</f>
        <v/>
      </c>
      <c r="BE27" s="20">
        <f>-BE25*입력값!$B$17</f>
        <v/>
      </c>
      <c r="BF27" s="20">
        <f>-BF25*입력값!$B$17</f>
        <v/>
      </c>
      <c r="BG27" s="20">
        <f>-BG25*입력값!$B$17</f>
        <v/>
      </c>
      <c r="BH27" s="20">
        <f>-BH25*입력값!$B$17</f>
        <v/>
      </c>
      <c r="BI27" s="20">
        <f>-BI25*입력값!$B$17</f>
        <v/>
      </c>
      <c r="BJ27" s="20">
        <f>-BJ25*입력값!$B$17</f>
        <v/>
      </c>
    </row>
    <row r="28">
      <c r="A28" s="25" t="inlineStr">
        <is>
          <t>(−) seat 변동비 (AI 포함)</t>
        </is>
      </c>
      <c r="C28" s="20">
        <f>-(C13*입력값!$B$24+C14*입력값!$C$24+C15*입력값!$D$24+C16*입력값!$E$24)</f>
        <v/>
      </c>
      <c r="D28" s="20">
        <f>-(D13*입력값!$B$24+D14*입력값!$C$24+D15*입력값!$D$24+D16*입력값!$E$24)</f>
        <v/>
      </c>
      <c r="E28" s="20">
        <f>-(E13*입력값!$B$24+E14*입력값!$C$24+E15*입력값!$D$24+E16*입력값!$E$24)</f>
        <v/>
      </c>
      <c r="F28" s="20">
        <f>-(F13*입력값!$B$24+F14*입력값!$C$24+F15*입력값!$D$24+F16*입력값!$E$24)</f>
        <v/>
      </c>
      <c r="G28" s="20">
        <f>-(G13*입력값!$B$24+G14*입력값!$C$24+G15*입력값!$D$24+G16*입력값!$E$24)</f>
        <v/>
      </c>
      <c r="H28" s="20">
        <f>-(H13*입력값!$B$24+H14*입력값!$C$24+H15*입력값!$D$24+H16*입력값!$E$24)</f>
        <v/>
      </c>
      <c r="I28" s="20">
        <f>-(I13*입력값!$B$24+I14*입력값!$C$24+I15*입력값!$D$24+I16*입력값!$E$24)</f>
        <v/>
      </c>
      <c r="J28" s="20">
        <f>-(J13*입력값!$B$24+J14*입력값!$C$24+J15*입력값!$D$24+J16*입력값!$E$24)</f>
        <v/>
      </c>
      <c r="K28" s="20">
        <f>-(K13*입력값!$B$24+K14*입력값!$C$24+K15*입력값!$D$24+K16*입력값!$E$24)</f>
        <v/>
      </c>
      <c r="L28" s="20">
        <f>-(L13*입력값!$B$24+L14*입력값!$C$24+L15*입력값!$D$24+L16*입력값!$E$24)</f>
        <v/>
      </c>
      <c r="M28" s="20">
        <f>-(M13*입력값!$B$24+M14*입력값!$C$24+M15*입력값!$D$24+M16*입력값!$E$24)</f>
        <v/>
      </c>
      <c r="N28" s="20">
        <f>-(N13*입력값!$B$24+N14*입력값!$C$24+N15*입력값!$D$24+N16*입력값!$E$24)</f>
        <v/>
      </c>
      <c r="O28" s="20">
        <f>-(O13*입력값!$B$24+O14*입력값!$C$24+O15*입력값!$D$24+O16*입력값!$E$24)</f>
        <v/>
      </c>
      <c r="P28" s="20">
        <f>-(P13*입력값!$B$24+P14*입력값!$C$24+P15*입력값!$D$24+P16*입력값!$E$24)</f>
        <v/>
      </c>
      <c r="Q28" s="20">
        <f>-(Q13*입력값!$B$24+Q14*입력값!$C$24+Q15*입력값!$D$24+Q16*입력값!$E$24)</f>
        <v/>
      </c>
      <c r="R28" s="20">
        <f>-(R13*입력값!$B$24+R14*입력값!$C$24+R15*입력값!$D$24+R16*입력값!$E$24)</f>
        <v/>
      </c>
      <c r="S28" s="20">
        <f>-(S13*입력값!$B$24+S14*입력값!$C$24+S15*입력값!$D$24+S16*입력값!$E$24)</f>
        <v/>
      </c>
      <c r="T28" s="20">
        <f>-(T13*입력값!$B$24+T14*입력값!$C$24+T15*입력값!$D$24+T16*입력값!$E$24)</f>
        <v/>
      </c>
      <c r="U28" s="20">
        <f>-(U13*입력값!$B$24+U14*입력값!$C$24+U15*입력값!$D$24+U16*입력값!$E$24)</f>
        <v/>
      </c>
      <c r="V28" s="20">
        <f>-(V13*입력값!$B$24+V14*입력값!$C$24+V15*입력값!$D$24+V16*입력값!$E$24)</f>
        <v/>
      </c>
      <c r="W28" s="20">
        <f>-(W13*입력값!$B$24+W14*입력값!$C$24+W15*입력값!$D$24+W16*입력값!$E$24)</f>
        <v/>
      </c>
      <c r="X28" s="20">
        <f>-(X13*입력값!$B$24+X14*입력값!$C$24+X15*입력값!$D$24+X16*입력값!$E$24)</f>
        <v/>
      </c>
      <c r="Y28" s="20">
        <f>-(Y13*입력값!$B$24+Y14*입력값!$C$24+Y15*입력값!$D$24+Y16*입력값!$E$24)</f>
        <v/>
      </c>
      <c r="Z28" s="20">
        <f>-(Z13*입력값!$B$24+Z14*입력값!$C$24+Z15*입력값!$D$24+Z16*입력값!$E$24)</f>
        <v/>
      </c>
      <c r="AA28" s="20">
        <f>-(AA13*입력값!$B$24+AA14*입력값!$C$24+AA15*입력값!$D$24+AA16*입력값!$E$24)</f>
        <v/>
      </c>
      <c r="AB28" s="20">
        <f>-(AB13*입력값!$B$24+AB14*입력값!$C$24+AB15*입력값!$D$24+AB16*입력값!$E$24)</f>
        <v/>
      </c>
      <c r="AC28" s="20">
        <f>-(AC13*입력값!$B$24+AC14*입력값!$C$24+AC15*입력값!$D$24+AC16*입력값!$E$24)</f>
        <v/>
      </c>
      <c r="AD28" s="20">
        <f>-(AD13*입력값!$B$24+AD14*입력값!$C$24+AD15*입력값!$D$24+AD16*입력값!$E$24)</f>
        <v/>
      </c>
      <c r="AE28" s="20">
        <f>-(AE13*입력값!$B$24+AE14*입력값!$C$24+AE15*입력값!$D$24+AE16*입력값!$E$24)</f>
        <v/>
      </c>
      <c r="AF28" s="20">
        <f>-(AF13*입력값!$B$24+AF14*입력값!$C$24+AF15*입력값!$D$24+AF16*입력값!$E$24)</f>
        <v/>
      </c>
      <c r="AG28" s="20">
        <f>-(AG13*입력값!$B$24+AG14*입력값!$C$24+AG15*입력값!$D$24+AG16*입력값!$E$24)</f>
        <v/>
      </c>
      <c r="AH28" s="20">
        <f>-(AH13*입력값!$B$24+AH14*입력값!$C$24+AH15*입력값!$D$24+AH16*입력값!$E$24)</f>
        <v/>
      </c>
      <c r="AI28" s="20">
        <f>-(AI13*입력값!$B$24+AI14*입력값!$C$24+AI15*입력값!$D$24+AI16*입력값!$E$24)</f>
        <v/>
      </c>
      <c r="AJ28" s="20">
        <f>-(AJ13*입력값!$B$24+AJ14*입력값!$C$24+AJ15*입력값!$D$24+AJ16*입력값!$E$24)</f>
        <v/>
      </c>
      <c r="AK28" s="20">
        <f>-(AK13*입력값!$B$24+AK14*입력값!$C$24+AK15*입력값!$D$24+AK16*입력값!$E$24)</f>
        <v/>
      </c>
      <c r="AL28" s="20">
        <f>-(AL13*입력값!$B$24+AL14*입력값!$C$24+AL15*입력값!$D$24+AL16*입력값!$E$24)</f>
        <v/>
      </c>
      <c r="AM28" s="20">
        <f>-(AM13*입력값!$B$24+AM14*입력값!$C$24+AM15*입력값!$D$24+AM16*입력값!$E$24)</f>
        <v/>
      </c>
      <c r="AN28" s="20">
        <f>-(AN13*입력값!$B$24+AN14*입력값!$C$24+AN15*입력값!$D$24+AN16*입력값!$E$24)</f>
        <v/>
      </c>
      <c r="AO28" s="20">
        <f>-(AO13*입력값!$B$24+AO14*입력값!$C$24+AO15*입력값!$D$24+AO16*입력값!$E$24)</f>
        <v/>
      </c>
      <c r="AP28" s="20">
        <f>-(AP13*입력값!$B$24+AP14*입력값!$C$24+AP15*입력값!$D$24+AP16*입력값!$E$24)</f>
        <v/>
      </c>
      <c r="AQ28" s="20">
        <f>-(AQ13*입력값!$B$24+AQ14*입력값!$C$24+AQ15*입력값!$D$24+AQ16*입력값!$E$24)</f>
        <v/>
      </c>
      <c r="AR28" s="20">
        <f>-(AR13*입력값!$B$24+AR14*입력값!$C$24+AR15*입력값!$D$24+AR16*입력값!$E$24)</f>
        <v/>
      </c>
      <c r="AS28" s="20">
        <f>-(AS13*입력값!$B$24+AS14*입력값!$C$24+AS15*입력값!$D$24+AS16*입력값!$E$24)</f>
        <v/>
      </c>
      <c r="AT28" s="20">
        <f>-(AT13*입력값!$B$24+AT14*입력값!$C$24+AT15*입력값!$D$24+AT16*입력값!$E$24)</f>
        <v/>
      </c>
      <c r="AU28" s="20">
        <f>-(AU13*입력값!$B$24+AU14*입력값!$C$24+AU15*입력값!$D$24+AU16*입력값!$E$24)</f>
        <v/>
      </c>
      <c r="AV28" s="20">
        <f>-(AV13*입력값!$B$24+AV14*입력값!$C$24+AV15*입력값!$D$24+AV16*입력값!$E$24)</f>
        <v/>
      </c>
      <c r="AW28" s="20">
        <f>-(AW13*입력값!$B$24+AW14*입력값!$C$24+AW15*입력값!$D$24+AW16*입력값!$E$24)</f>
        <v/>
      </c>
      <c r="AX28" s="20">
        <f>-(AX13*입력값!$B$24+AX14*입력값!$C$24+AX15*입력값!$D$24+AX16*입력값!$E$24)</f>
        <v/>
      </c>
      <c r="AY28" s="20">
        <f>-(AY13*입력값!$B$24+AY14*입력값!$C$24+AY15*입력값!$D$24+AY16*입력값!$E$24)</f>
        <v/>
      </c>
      <c r="AZ28" s="20">
        <f>-(AZ13*입력값!$B$24+AZ14*입력값!$C$24+AZ15*입력값!$D$24+AZ16*입력값!$E$24)</f>
        <v/>
      </c>
      <c r="BA28" s="20">
        <f>-(BA13*입력값!$B$24+BA14*입력값!$C$24+BA15*입력값!$D$24+BA16*입력값!$E$24)</f>
        <v/>
      </c>
      <c r="BB28" s="20">
        <f>-(BB13*입력값!$B$24+BB14*입력값!$C$24+BB15*입력값!$D$24+BB16*입력값!$E$24)</f>
        <v/>
      </c>
      <c r="BC28" s="20">
        <f>-(BC13*입력값!$B$24+BC14*입력값!$C$24+BC15*입력값!$D$24+BC16*입력값!$E$24)</f>
        <v/>
      </c>
      <c r="BD28" s="20">
        <f>-(BD13*입력값!$B$24+BD14*입력값!$C$24+BD15*입력값!$D$24+BD16*입력값!$E$24)</f>
        <v/>
      </c>
      <c r="BE28" s="20">
        <f>-(BE13*입력값!$B$24+BE14*입력값!$C$24+BE15*입력값!$D$24+BE16*입력값!$E$24)</f>
        <v/>
      </c>
      <c r="BF28" s="20">
        <f>-(BF13*입력값!$B$24+BF14*입력값!$C$24+BF15*입력값!$D$24+BF16*입력값!$E$24)</f>
        <v/>
      </c>
      <c r="BG28" s="20">
        <f>-(BG13*입력값!$B$24+BG14*입력값!$C$24+BG15*입력값!$D$24+BG16*입력값!$E$24)</f>
        <v/>
      </c>
      <c r="BH28" s="20">
        <f>-(BH13*입력값!$B$24+BH14*입력값!$C$24+BH15*입력값!$D$24+BH16*입력값!$E$24)</f>
        <v/>
      </c>
      <c r="BI28" s="20">
        <f>-(BI13*입력값!$B$24+BI14*입력값!$C$24+BI15*입력값!$D$24+BI16*입력값!$E$24)</f>
        <v/>
      </c>
      <c r="BJ28" s="20">
        <f>-(BJ13*입력값!$B$24+BJ14*입력값!$C$24+BJ15*입력값!$D$24+BJ16*입력값!$E$24)</f>
        <v/>
      </c>
    </row>
    <row r="29">
      <c r="A29" s="8" t="inlineStr">
        <is>
          <t>→ 공헌이익</t>
        </is>
      </c>
      <c r="C29" s="11">
        <f>C25+C26+C27+C28</f>
        <v/>
      </c>
      <c r="D29" s="11">
        <f>D25+D26+D27+D28</f>
        <v/>
      </c>
      <c r="E29" s="11">
        <f>E25+E26+E27+E28</f>
        <v/>
      </c>
      <c r="F29" s="11">
        <f>F25+F26+F27+F28</f>
        <v/>
      </c>
      <c r="G29" s="11">
        <f>G25+G26+G27+G28</f>
        <v/>
      </c>
      <c r="H29" s="11">
        <f>H25+H26+H27+H28</f>
        <v/>
      </c>
      <c r="I29" s="11">
        <f>I25+I26+I27+I28</f>
        <v/>
      </c>
      <c r="J29" s="11">
        <f>J25+J26+J27+J28</f>
        <v/>
      </c>
      <c r="K29" s="11">
        <f>K25+K26+K27+K28</f>
        <v/>
      </c>
      <c r="L29" s="11">
        <f>L25+L26+L27+L28</f>
        <v/>
      </c>
      <c r="M29" s="11">
        <f>M25+M26+M27+M28</f>
        <v/>
      </c>
      <c r="N29" s="11">
        <f>N25+N26+N27+N28</f>
        <v/>
      </c>
      <c r="O29" s="11">
        <f>O25+O26+O27+O28</f>
        <v/>
      </c>
      <c r="P29" s="11">
        <f>P25+P26+P27+P28</f>
        <v/>
      </c>
      <c r="Q29" s="11">
        <f>Q25+Q26+Q27+Q28</f>
        <v/>
      </c>
      <c r="R29" s="11">
        <f>R25+R26+R27+R28</f>
        <v/>
      </c>
      <c r="S29" s="11">
        <f>S25+S26+S27+S28</f>
        <v/>
      </c>
      <c r="T29" s="11">
        <f>T25+T26+T27+T28</f>
        <v/>
      </c>
      <c r="U29" s="11">
        <f>U25+U26+U27+U28</f>
        <v/>
      </c>
      <c r="V29" s="11">
        <f>V25+V26+V27+V28</f>
        <v/>
      </c>
      <c r="W29" s="11">
        <f>W25+W26+W27+W28</f>
        <v/>
      </c>
      <c r="X29" s="11">
        <f>X25+X26+X27+X28</f>
        <v/>
      </c>
      <c r="Y29" s="11">
        <f>Y25+Y26+Y27+Y28</f>
        <v/>
      </c>
      <c r="Z29" s="11">
        <f>Z25+Z26+Z27+Z28</f>
        <v/>
      </c>
      <c r="AA29" s="11">
        <f>AA25+AA26+AA27+AA28</f>
        <v/>
      </c>
      <c r="AB29" s="11">
        <f>AB25+AB26+AB27+AB28</f>
        <v/>
      </c>
      <c r="AC29" s="11">
        <f>AC25+AC26+AC27+AC28</f>
        <v/>
      </c>
      <c r="AD29" s="11">
        <f>AD25+AD26+AD27+AD28</f>
        <v/>
      </c>
      <c r="AE29" s="11">
        <f>AE25+AE26+AE27+AE28</f>
        <v/>
      </c>
      <c r="AF29" s="11">
        <f>AF25+AF26+AF27+AF28</f>
        <v/>
      </c>
      <c r="AG29" s="11">
        <f>AG25+AG26+AG27+AG28</f>
        <v/>
      </c>
      <c r="AH29" s="11">
        <f>AH25+AH26+AH27+AH28</f>
        <v/>
      </c>
      <c r="AI29" s="11">
        <f>AI25+AI26+AI27+AI28</f>
        <v/>
      </c>
      <c r="AJ29" s="11">
        <f>AJ25+AJ26+AJ27+AJ28</f>
        <v/>
      </c>
      <c r="AK29" s="11">
        <f>AK25+AK26+AK27+AK28</f>
        <v/>
      </c>
      <c r="AL29" s="11">
        <f>AL25+AL26+AL27+AL28</f>
        <v/>
      </c>
      <c r="AM29" s="11">
        <f>AM25+AM26+AM27+AM28</f>
        <v/>
      </c>
      <c r="AN29" s="11">
        <f>AN25+AN26+AN27+AN28</f>
        <v/>
      </c>
      <c r="AO29" s="11">
        <f>AO25+AO26+AO27+AO28</f>
        <v/>
      </c>
      <c r="AP29" s="11">
        <f>AP25+AP26+AP27+AP28</f>
        <v/>
      </c>
      <c r="AQ29" s="11">
        <f>AQ25+AQ26+AQ27+AQ28</f>
        <v/>
      </c>
      <c r="AR29" s="11">
        <f>AR25+AR26+AR27+AR28</f>
        <v/>
      </c>
      <c r="AS29" s="11">
        <f>AS25+AS26+AS27+AS28</f>
        <v/>
      </c>
      <c r="AT29" s="11">
        <f>AT25+AT26+AT27+AT28</f>
        <v/>
      </c>
      <c r="AU29" s="11">
        <f>AU25+AU26+AU27+AU28</f>
        <v/>
      </c>
      <c r="AV29" s="11">
        <f>AV25+AV26+AV27+AV28</f>
        <v/>
      </c>
      <c r="AW29" s="11">
        <f>AW25+AW26+AW27+AW28</f>
        <v/>
      </c>
      <c r="AX29" s="11">
        <f>AX25+AX26+AX27+AX28</f>
        <v/>
      </c>
      <c r="AY29" s="11">
        <f>AY25+AY26+AY27+AY28</f>
        <v/>
      </c>
      <c r="AZ29" s="11">
        <f>AZ25+AZ26+AZ27+AZ28</f>
        <v/>
      </c>
      <c r="BA29" s="11">
        <f>BA25+BA26+BA27+BA28</f>
        <v/>
      </c>
      <c r="BB29" s="11">
        <f>BB25+BB26+BB27+BB28</f>
        <v/>
      </c>
      <c r="BC29" s="11">
        <f>BC25+BC26+BC27+BC28</f>
        <v/>
      </c>
      <c r="BD29" s="11">
        <f>BD25+BD26+BD27+BD28</f>
        <v/>
      </c>
      <c r="BE29" s="11">
        <f>BE25+BE26+BE27+BE28</f>
        <v/>
      </c>
      <c r="BF29" s="11">
        <f>BF25+BF26+BF27+BF28</f>
        <v/>
      </c>
      <c r="BG29" s="11">
        <f>BG25+BG26+BG27+BG28</f>
        <v/>
      </c>
      <c r="BH29" s="11">
        <f>BH25+BH26+BH27+BH28</f>
        <v/>
      </c>
      <c r="BI29" s="11">
        <f>BI25+BI26+BI27+BI28</f>
        <v/>
      </c>
      <c r="BJ29" s="11">
        <f>BJ25+BJ26+BJ27+BJ28</f>
        <v/>
      </c>
    </row>
    <row r="30">
      <c r="A30" s="25" t="inlineStr">
        <is>
          <t>(−) 인건비 (3명)</t>
        </is>
      </c>
      <c r="C30" s="20">
        <f>-입력값!$B$51*(1+입력값!$B$49)^(C6-1)</f>
        <v/>
      </c>
      <c r="D30" s="20">
        <f>-입력값!$B$51*(1+입력값!$B$49)^(D6-1)</f>
        <v/>
      </c>
      <c r="E30" s="20">
        <f>-입력값!$B$51*(1+입력값!$B$49)^(E6-1)</f>
        <v/>
      </c>
      <c r="F30" s="20">
        <f>-입력값!$B$51*(1+입력값!$B$49)^(F6-1)</f>
        <v/>
      </c>
      <c r="G30" s="20">
        <f>-입력값!$B$51*(1+입력값!$B$49)^(G6-1)</f>
        <v/>
      </c>
      <c r="H30" s="20">
        <f>-입력값!$B$51*(1+입력값!$B$49)^(H6-1)</f>
        <v/>
      </c>
      <c r="I30" s="20">
        <f>-입력값!$B$51*(1+입력값!$B$49)^(I6-1)</f>
        <v/>
      </c>
      <c r="J30" s="20">
        <f>-입력값!$B$51*(1+입력값!$B$49)^(J6-1)</f>
        <v/>
      </c>
      <c r="K30" s="20">
        <f>-입력값!$B$51*(1+입력값!$B$49)^(K6-1)</f>
        <v/>
      </c>
      <c r="L30" s="20">
        <f>-입력값!$B$51*(1+입력값!$B$49)^(L6-1)</f>
        <v/>
      </c>
      <c r="M30" s="20">
        <f>-입력값!$B$51*(1+입력값!$B$49)^(M6-1)</f>
        <v/>
      </c>
      <c r="N30" s="20">
        <f>-입력값!$B$51*(1+입력값!$B$49)^(N6-1)</f>
        <v/>
      </c>
      <c r="O30" s="20">
        <f>-입력값!$B$51*(1+입력값!$B$49)^(O6-1)</f>
        <v/>
      </c>
      <c r="P30" s="20">
        <f>-입력값!$B$51*(1+입력값!$B$49)^(P6-1)</f>
        <v/>
      </c>
      <c r="Q30" s="20">
        <f>-입력값!$B$51*(1+입력값!$B$49)^(Q6-1)</f>
        <v/>
      </c>
      <c r="R30" s="20">
        <f>-입력값!$B$51*(1+입력값!$B$49)^(R6-1)</f>
        <v/>
      </c>
      <c r="S30" s="20">
        <f>-입력값!$B$51*(1+입력값!$B$49)^(S6-1)</f>
        <v/>
      </c>
      <c r="T30" s="20">
        <f>-입력값!$B$51*(1+입력값!$B$49)^(T6-1)</f>
        <v/>
      </c>
      <c r="U30" s="20">
        <f>-입력값!$B$51*(1+입력값!$B$49)^(U6-1)</f>
        <v/>
      </c>
      <c r="V30" s="20">
        <f>-입력값!$B$51*(1+입력값!$B$49)^(V6-1)</f>
        <v/>
      </c>
      <c r="W30" s="20">
        <f>-입력값!$B$51*(1+입력값!$B$49)^(W6-1)</f>
        <v/>
      </c>
      <c r="X30" s="20">
        <f>-입력값!$B$51*(1+입력값!$B$49)^(X6-1)</f>
        <v/>
      </c>
      <c r="Y30" s="20">
        <f>-입력값!$B$51*(1+입력값!$B$49)^(Y6-1)</f>
        <v/>
      </c>
      <c r="Z30" s="20">
        <f>-입력값!$B$51*(1+입력값!$B$49)^(Z6-1)</f>
        <v/>
      </c>
      <c r="AA30" s="20">
        <f>-입력값!$B$51*(1+입력값!$B$49)^(AA6-1)</f>
        <v/>
      </c>
      <c r="AB30" s="20">
        <f>-입력값!$B$51*(1+입력값!$B$49)^(AB6-1)</f>
        <v/>
      </c>
      <c r="AC30" s="20">
        <f>-입력값!$B$51*(1+입력값!$B$49)^(AC6-1)</f>
        <v/>
      </c>
      <c r="AD30" s="20">
        <f>-입력값!$B$51*(1+입력값!$B$49)^(AD6-1)</f>
        <v/>
      </c>
      <c r="AE30" s="20">
        <f>-입력값!$B$51*(1+입력값!$B$49)^(AE6-1)</f>
        <v/>
      </c>
      <c r="AF30" s="20">
        <f>-입력값!$B$51*(1+입력값!$B$49)^(AF6-1)</f>
        <v/>
      </c>
      <c r="AG30" s="20">
        <f>-입력값!$B$51*(1+입력값!$B$49)^(AG6-1)</f>
        <v/>
      </c>
      <c r="AH30" s="20">
        <f>-입력값!$B$51*(1+입력값!$B$49)^(AH6-1)</f>
        <v/>
      </c>
      <c r="AI30" s="20">
        <f>-입력값!$B$51*(1+입력값!$B$49)^(AI6-1)</f>
        <v/>
      </c>
      <c r="AJ30" s="20">
        <f>-입력값!$B$51*(1+입력값!$B$49)^(AJ6-1)</f>
        <v/>
      </c>
      <c r="AK30" s="20">
        <f>-입력값!$B$51*(1+입력값!$B$49)^(AK6-1)</f>
        <v/>
      </c>
      <c r="AL30" s="20">
        <f>-입력값!$B$51*(1+입력값!$B$49)^(AL6-1)</f>
        <v/>
      </c>
      <c r="AM30" s="20">
        <f>-입력값!$B$51*(1+입력값!$B$49)^(AM6-1)</f>
        <v/>
      </c>
      <c r="AN30" s="20">
        <f>-입력값!$B$51*(1+입력값!$B$49)^(AN6-1)</f>
        <v/>
      </c>
      <c r="AO30" s="20">
        <f>-입력값!$B$51*(1+입력값!$B$49)^(AO6-1)</f>
        <v/>
      </c>
      <c r="AP30" s="20">
        <f>-입력값!$B$51*(1+입력값!$B$49)^(AP6-1)</f>
        <v/>
      </c>
      <c r="AQ30" s="20">
        <f>-입력값!$B$51*(1+입력값!$B$49)^(AQ6-1)</f>
        <v/>
      </c>
      <c r="AR30" s="20">
        <f>-입력값!$B$51*(1+입력값!$B$49)^(AR6-1)</f>
        <v/>
      </c>
      <c r="AS30" s="20">
        <f>-입력값!$B$51*(1+입력값!$B$49)^(AS6-1)</f>
        <v/>
      </c>
      <c r="AT30" s="20">
        <f>-입력값!$B$51*(1+입력값!$B$49)^(AT6-1)</f>
        <v/>
      </c>
      <c r="AU30" s="20">
        <f>-입력값!$B$51*(1+입력값!$B$49)^(AU6-1)</f>
        <v/>
      </c>
      <c r="AV30" s="20">
        <f>-입력값!$B$51*(1+입력값!$B$49)^(AV6-1)</f>
        <v/>
      </c>
      <c r="AW30" s="20">
        <f>-입력값!$B$51*(1+입력값!$B$49)^(AW6-1)</f>
        <v/>
      </c>
      <c r="AX30" s="20">
        <f>-입력값!$B$51*(1+입력값!$B$49)^(AX6-1)</f>
        <v/>
      </c>
      <c r="AY30" s="20">
        <f>-입력값!$B$51*(1+입력값!$B$49)^(AY6-1)</f>
        <v/>
      </c>
      <c r="AZ30" s="20">
        <f>-입력값!$B$51*(1+입력값!$B$49)^(AZ6-1)</f>
        <v/>
      </c>
      <c r="BA30" s="20">
        <f>-입력값!$B$51*(1+입력값!$B$49)^(BA6-1)</f>
        <v/>
      </c>
      <c r="BB30" s="20">
        <f>-입력값!$B$51*(1+입력값!$B$49)^(BB6-1)</f>
        <v/>
      </c>
      <c r="BC30" s="20">
        <f>-입력값!$B$51*(1+입력값!$B$49)^(BC6-1)</f>
        <v/>
      </c>
      <c r="BD30" s="20">
        <f>-입력값!$B$51*(1+입력값!$B$49)^(BD6-1)</f>
        <v/>
      </c>
      <c r="BE30" s="20">
        <f>-입력값!$B$51*(1+입력값!$B$49)^(BE6-1)</f>
        <v/>
      </c>
      <c r="BF30" s="20">
        <f>-입력값!$B$51*(1+입력값!$B$49)^(BF6-1)</f>
        <v/>
      </c>
      <c r="BG30" s="20">
        <f>-입력값!$B$51*(1+입력값!$B$49)^(BG6-1)</f>
        <v/>
      </c>
      <c r="BH30" s="20">
        <f>-입력값!$B$51*(1+입력값!$B$49)^(BH6-1)</f>
        <v/>
      </c>
      <c r="BI30" s="20">
        <f>-입력값!$B$51*(1+입력값!$B$49)^(BI6-1)</f>
        <v/>
      </c>
      <c r="BJ30" s="20">
        <f>-입력값!$B$51*(1+입력값!$B$49)^(BJ6-1)</f>
        <v/>
      </c>
    </row>
    <row r="31">
      <c r="A31" s="25" t="inlineStr">
        <is>
          <t>(−) 추가 CS 인력</t>
        </is>
      </c>
      <c r="C31" s="20">
        <f>-C22*입력값!$B$100*(1+입력값!$B$49)^(C6-1)</f>
        <v/>
      </c>
      <c r="D31" s="20">
        <f>-D22*입력값!$B$100*(1+입력값!$B$49)^(D6-1)</f>
        <v/>
      </c>
      <c r="E31" s="20">
        <f>-E22*입력값!$B$100*(1+입력값!$B$49)^(E6-1)</f>
        <v/>
      </c>
      <c r="F31" s="20">
        <f>-F22*입력값!$B$100*(1+입력값!$B$49)^(F6-1)</f>
        <v/>
      </c>
      <c r="G31" s="20">
        <f>-G22*입력값!$B$100*(1+입력값!$B$49)^(G6-1)</f>
        <v/>
      </c>
      <c r="H31" s="20">
        <f>-H22*입력값!$B$100*(1+입력값!$B$49)^(H6-1)</f>
        <v/>
      </c>
      <c r="I31" s="20">
        <f>-I22*입력값!$B$100*(1+입력값!$B$49)^(I6-1)</f>
        <v/>
      </c>
      <c r="J31" s="20">
        <f>-J22*입력값!$B$100*(1+입력값!$B$49)^(J6-1)</f>
        <v/>
      </c>
      <c r="K31" s="20">
        <f>-K22*입력값!$B$100*(1+입력값!$B$49)^(K6-1)</f>
        <v/>
      </c>
      <c r="L31" s="20">
        <f>-L22*입력값!$B$100*(1+입력값!$B$49)^(L6-1)</f>
        <v/>
      </c>
      <c r="M31" s="20">
        <f>-M22*입력값!$B$100*(1+입력값!$B$49)^(M6-1)</f>
        <v/>
      </c>
      <c r="N31" s="20">
        <f>-N22*입력값!$B$100*(1+입력값!$B$49)^(N6-1)</f>
        <v/>
      </c>
      <c r="O31" s="20">
        <f>-O22*입력값!$B$100*(1+입력값!$B$49)^(O6-1)</f>
        <v/>
      </c>
      <c r="P31" s="20">
        <f>-P22*입력값!$B$100*(1+입력값!$B$49)^(P6-1)</f>
        <v/>
      </c>
      <c r="Q31" s="20">
        <f>-Q22*입력값!$B$100*(1+입력값!$B$49)^(Q6-1)</f>
        <v/>
      </c>
      <c r="R31" s="20">
        <f>-R22*입력값!$B$100*(1+입력값!$B$49)^(R6-1)</f>
        <v/>
      </c>
      <c r="S31" s="20">
        <f>-S22*입력값!$B$100*(1+입력값!$B$49)^(S6-1)</f>
        <v/>
      </c>
      <c r="T31" s="20">
        <f>-T22*입력값!$B$100*(1+입력값!$B$49)^(T6-1)</f>
        <v/>
      </c>
      <c r="U31" s="20">
        <f>-U22*입력값!$B$100*(1+입력값!$B$49)^(U6-1)</f>
        <v/>
      </c>
      <c r="V31" s="20">
        <f>-V22*입력값!$B$100*(1+입력값!$B$49)^(V6-1)</f>
        <v/>
      </c>
      <c r="W31" s="20">
        <f>-W22*입력값!$B$100*(1+입력값!$B$49)^(W6-1)</f>
        <v/>
      </c>
      <c r="X31" s="20">
        <f>-X22*입력값!$B$100*(1+입력값!$B$49)^(X6-1)</f>
        <v/>
      </c>
      <c r="Y31" s="20">
        <f>-Y22*입력값!$B$100*(1+입력값!$B$49)^(Y6-1)</f>
        <v/>
      </c>
      <c r="Z31" s="20">
        <f>-Z22*입력값!$B$100*(1+입력값!$B$49)^(Z6-1)</f>
        <v/>
      </c>
      <c r="AA31" s="20">
        <f>-AA22*입력값!$B$100*(1+입력값!$B$49)^(AA6-1)</f>
        <v/>
      </c>
      <c r="AB31" s="20">
        <f>-AB22*입력값!$B$100*(1+입력값!$B$49)^(AB6-1)</f>
        <v/>
      </c>
      <c r="AC31" s="20">
        <f>-AC22*입력값!$B$100*(1+입력값!$B$49)^(AC6-1)</f>
        <v/>
      </c>
      <c r="AD31" s="20">
        <f>-AD22*입력값!$B$100*(1+입력값!$B$49)^(AD6-1)</f>
        <v/>
      </c>
      <c r="AE31" s="20">
        <f>-AE22*입력값!$B$100*(1+입력값!$B$49)^(AE6-1)</f>
        <v/>
      </c>
      <c r="AF31" s="20">
        <f>-AF22*입력값!$B$100*(1+입력값!$B$49)^(AF6-1)</f>
        <v/>
      </c>
      <c r="AG31" s="20">
        <f>-AG22*입력값!$B$100*(1+입력값!$B$49)^(AG6-1)</f>
        <v/>
      </c>
      <c r="AH31" s="20">
        <f>-AH22*입력값!$B$100*(1+입력값!$B$49)^(AH6-1)</f>
        <v/>
      </c>
      <c r="AI31" s="20">
        <f>-AI22*입력값!$B$100*(1+입력값!$B$49)^(AI6-1)</f>
        <v/>
      </c>
      <c r="AJ31" s="20">
        <f>-AJ22*입력값!$B$100*(1+입력값!$B$49)^(AJ6-1)</f>
        <v/>
      </c>
      <c r="AK31" s="20">
        <f>-AK22*입력값!$B$100*(1+입력값!$B$49)^(AK6-1)</f>
        <v/>
      </c>
      <c r="AL31" s="20">
        <f>-AL22*입력값!$B$100*(1+입력값!$B$49)^(AL6-1)</f>
        <v/>
      </c>
      <c r="AM31" s="20">
        <f>-AM22*입력값!$B$100*(1+입력값!$B$49)^(AM6-1)</f>
        <v/>
      </c>
      <c r="AN31" s="20">
        <f>-AN22*입력값!$B$100*(1+입력값!$B$49)^(AN6-1)</f>
        <v/>
      </c>
      <c r="AO31" s="20">
        <f>-AO22*입력값!$B$100*(1+입력값!$B$49)^(AO6-1)</f>
        <v/>
      </c>
      <c r="AP31" s="20">
        <f>-AP22*입력값!$B$100*(1+입력값!$B$49)^(AP6-1)</f>
        <v/>
      </c>
      <c r="AQ31" s="20">
        <f>-AQ22*입력값!$B$100*(1+입력값!$B$49)^(AQ6-1)</f>
        <v/>
      </c>
      <c r="AR31" s="20">
        <f>-AR22*입력값!$B$100*(1+입력값!$B$49)^(AR6-1)</f>
        <v/>
      </c>
      <c r="AS31" s="20">
        <f>-AS22*입력값!$B$100*(1+입력값!$B$49)^(AS6-1)</f>
        <v/>
      </c>
      <c r="AT31" s="20">
        <f>-AT22*입력값!$B$100*(1+입력값!$B$49)^(AT6-1)</f>
        <v/>
      </c>
      <c r="AU31" s="20">
        <f>-AU22*입력값!$B$100*(1+입력값!$B$49)^(AU6-1)</f>
        <v/>
      </c>
      <c r="AV31" s="20">
        <f>-AV22*입력값!$B$100*(1+입력값!$B$49)^(AV6-1)</f>
        <v/>
      </c>
      <c r="AW31" s="20">
        <f>-AW22*입력값!$B$100*(1+입력값!$B$49)^(AW6-1)</f>
        <v/>
      </c>
      <c r="AX31" s="20">
        <f>-AX22*입력값!$B$100*(1+입력값!$B$49)^(AX6-1)</f>
        <v/>
      </c>
      <c r="AY31" s="20">
        <f>-AY22*입력값!$B$100*(1+입력값!$B$49)^(AY6-1)</f>
        <v/>
      </c>
      <c r="AZ31" s="20">
        <f>-AZ22*입력값!$B$100*(1+입력값!$B$49)^(AZ6-1)</f>
        <v/>
      </c>
      <c r="BA31" s="20">
        <f>-BA22*입력값!$B$100*(1+입력값!$B$49)^(BA6-1)</f>
        <v/>
      </c>
      <c r="BB31" s="20">
        <f>-BB22*입력값!$B$100*(1+입력값!$B$49)^(BB6-1)</f>
        <v/>
      </c>
      <c r="BC31" s="20">
        <f>-BC22*입력값!$B$100*(1+입력값!$B$49)^(BC6-1)</f>
        <v/>
      </c>
      <c r="BD31" s="20">
        <f>-BD22*입력값!$B$100*(1+입력값!$B$49)^(BD6-1)</f>
        <v/>
      </c>
      <c r="BE31" s="20">
        <f>-BE22*입력값!$B$100*(1+입력값!$B$49)^(BE6-1)</f>
        <v/>
      </c>
      <c r="BF31" s="20">
        <f>-BF22*입력값!$B$100*(1+입력값!$B$49)^(BF6-1)</f>
        <v/>
      </c>
      <c r="BG31" s="20">
        <f>-BG22*입력값!$B$100*(1+입력값!$B$49)^(BG6-1)</f>
        <v/>
      </c>
      <c r="BH31" s="20">
        <f>-BH22*입력값!$B$100*(1+입력값!$B$49)^(BH6-1)</f>
        <v/>
      </c>
      <c r="BI31" s="20">
        <f>-BI22*입력값!$B$100*(1+입력값!$B$49)^(BI6-1)</f>
        <v/>
      </c>
      <c r="BJ31" s="20">
        <f>-BJ22*입력값!$B$100*(1+입력값!$B$49)^(BJ6-1)</f>
        <v/>
      </c>
    </row>
    <row r="32">
      <c r="A32" s="25" t="inlineStr">
        <is>
          <t>(−) Enterprise 전담 CSM</t>
        </is>
      </c>
      <c r="C32" s="20">
        <f>-C23*입력값!$B$110*(1+입력값!$B$49)^(C6-1)</f>
        <v/>
      </c>
      <c r="D32" s="20">
        <f>-D23*입력값!$B$110*(1+입력값!$B$49)^(D6-1)</f>
        <v/>
      </c>
      <c r="E32" s="20">
        <f>-E23*입력값!$B$110*(1+입력값!$B$49)^(E6-1)</f>
        <v/>
      </c>
      <c r="F32" s="20">
        <f>-F23*입력값!$B$110*(1+입력값!$B$49)^(F6-1)</f>
        <v/>
      </c>
      <c r="G32" s="20">
        <f>-G23*입력값!$B$110*(1+입력값!$B$49)^(G6-1)</f>
        <v/>
      </c>
      <c r="H32" s="20">
        <f>-H23*입력값!$B$110*(1+입력값!$B$49)^(H6-1)</f>
        <v/>
      </c>
      <c r="I32" s="20">
        <f>-I23*입력값!$B$110*(1+입력값!$B$49)^(I6-1)</f>
        <v/>
      </c>
      <c r="J32" s="20">
        <f>-J23*입력값!$B$110*(1+입력값!$B$49)^(J6-1)</f>
        <v/>
      </c>
      <c r="K32" s="20">
        <f>-K23*입력값!$B$110*(1+입력값!$B$49)^(K6-1)</f>
        <v/>
      </c>
      <c r="L32" s="20">
        <f>-L23*입력값!$B$110*(1+입력값!$B$49)^(L6-1)</f>
        <v/>
      </c>
      <c r="M32" s="20">
        <f>-M23*입력값!$B$110*(1+입력값!$B$49)^(M6-1)</f>
        <v/>
      </c>
      <c r="N32" s="20">
        <f>-N23*입력값!$B$110*(1+입력값!$B$49)^(N6-1)</f>
        <v/>
      </c>
      <c r="O32" s="20">
        <f>-O23*입력값!$B$110*(1+입력값!$B$49)^(O6-1)</f>
        <v/>
      </c>
      <c r="P32" s="20">
        <f>-P23*입력값!$B$110*(1+입력값!$B$49)^(P6-1)</f>
        <v/>
      </c>
      <c r="Q32" s="20">
        <f>-Q23*입력값!$B$110*(1+입력값!$B$49)^(Q6-1)</f>
        <v/>
      </c>
      <c r="R32" s="20">
        <f>-R23*입력값!$B$110*(1+입력값!$B$49)^(R6-1)</f>
        <v/>
      </c>
      <c r="S32" s="20">
        <f>-S23*입력값!$B$110*(1+입력값!$B$49)^(S6-1)</f>
        <v/>
      </c>
      <c r="T32" s="20">
        <f>-T23*입력값!$B$110*(1+입력값!$B$49)^(T6-1)</f>
        <v/>
      </c>
      <c r="U32" s="20">
        <f>-U23*입력값!$B$110*(1+입력값!$B$49)^(U6-1)</f>
        <v/>
      </c>
      <c r="V32" s="20">
        <f>-V23*입력값!$B$110*(1+입력값!$B$49)^(V6-1)</f>
        <v/>
      </c>
      <c r="W32" s="20">
        <f>-W23*입력값!$B$110*(1+입력값!$B$49)^(W6-1)</f>
        <v/>
      </c>
      <c r="X32" s="20">
        <f>-X23*입력값!$B$110*(1+입력값!$B$49)^(X6-1)</f>
        <v/>
      </c>
      <c r="Y32" s="20">
        <f>-Y23*입력값!$B$110*(1+입력값!$B$49)^(Y6-1)</f>
        <v/>
      </c>
      <c r="Z32" s="20">
        <f>-Z23*입력값!$B$110*(1+입력값!$B$49)^(Z6-1)</f>
        <v/>
      </c>
      <c r="AA32" s="20">
        <f>-AA23*입력값!$B$110*(1+입력값!$B$49)^(AA6-1)</f>
        <v/>
      </c>
      <c r="AB32" s="20">
        <f>-AB23*입력값!$B$110*(1+입력값!$B$49)^(AB6-1)</f>
        <v/>
      </c>
      <c r="AC32" s="20">
        <f>-AC23*입력값!$B$110*(1+입력값!$B$49)^(AC6-1)</f>
        <v/>
      </c>
      <c r="AD32" s="20">
        <f>-AD23*입력값!$B$110*(1+입력값!$B$49)^(AD6-1)</f>
        <v/>
      </c>
      <c r="AE32" s="20">
        <f>-AE23*입력값!$B$110*(1+입력값!$B$49)^(AE6-1)</f>
        <v/>
      </c>
      <c r="AF32" s="20">
        <f>-AF23*입력값!$B$110*(1+입력값!$B$49)^(AF6-1)</f>
        <v/>
      </c>
      <c r="AG32" s="20">
        <f>-AG23*입력값!$B$110*(1+입력값!$B$49)^(AG6-1)</f>
        <v/>
      </c>
      <c r="AH32" s="20">
        <f>-AH23*입력값!$B$110*(1+입력값!$B$49)^(AH6-1)</f>
        <v/>
      </c>
      <c r="AI32" s="20">
        <f>-AI23*입력값!$B$110*(1+입력값!$B$49)^(AI6-1)</f>
        <v/>
      </c>
      <c r="AJ32" s="20">
        <f>-AJ23*입력값!$B$110*(1+입력값!$B$49)^(AJ6-1)</f>
        <v/>
      </c>
      <c r="AK32" s="20">
        <f>-AK23*입력값!$B$110*(1+입력값!$B$49)^(AK6-1)</f>
        <v/>
      </c>
      <c r="AL32" s="20">
        <f>-AL23*입력값!$B$110*(1+입력값!$B$49)^(AL6-1)</f>
        <v/>
      </c>
      <c r="AM32" s="20">
        <f>-AM23*입력값!$B$110*(1+입력값!$B$49)^(AM6-1)</f>
        <v/>
      </c>
      <c r="AN32" s="20">
        <f>-AN23*입력값!$B$110*(1+입력값!$B$49)^(AN6-1)</f>
        <v/>
      </c>
      <c r="AO32" s="20">
        <f>-AO23*입력값!$B$110*(1+입력값!$B$49)^(AO6-1)</f>
        <v/>
      </c>
      <c r="AP32" s="20">
        <f>-AP23*입력값!$B$110*(1+입력값!$B$49)^(AP6-1)</f>
        <v/>
      </c>
      <c r="AQ32" s="20">
        <f>-AQ23*입력값!$B$110*(1+입력값!$B$49)^(AQ6-1)</f>
        <v/>
      </c>
      <c r="AR32" s="20">
        <f>-AR23*입력값!$B$110*(1+입력값!$B$49)^(AR6-1)</f>
        <v/>
      </c>
      <c r="AS32" s="20">
        <f>-AS23*입력값!$B$110*(1+입력값!$B$49)^(AS6-1)</f>
        <v/>
      </c>
      <c r="AT32" s="20">
        <f>-AT23*입력값!$B$110*(1+입력값!$B$49)^(AT6-1)</f>
        <v/>
      </c>
      <c r="AU32" s="20">
        <f>-AU23*입력값!$B$110*(1+입력값!$B$49)^(AU6-1)</f>
        <v/>
      </c>
      <c r="AV32" s="20">
        <f>-AV23*입력값!$B$110*(1+입력값!$B$49)^(AV6-1)</f>
        <v/>
      </c>
      <c r="AW32" s="20">
        <f>-AW23*입력값!$B$110*(1+입력값!$B$49)^(AW6-1)</f>
        <v/>
      </c>
      <c r="AX32" s="20">
        <f>-AX23*입력값!$B$110*(1+입력값!$B$49)^(AX6-1)</f>
        <v/>
      </c>
      <c r="AY32" s="20">
        <f>-AY23*입력값!$B$110*(1+입력값!$B$49)^(AY6-1)</f>
        <v/>
      </c>
      <c r="AZ32" s="20">
        <f>-AZ23*입력값!$B$110*(1+입력값!$B$49)^(AZ6-1)</f>
        <v/>
      </c>
      <c r="BA32" s="20">
        <f>-BA23*입력값!$B$110*(1+입력값!$B$49)^(BA6-1)</f>
        <v/>
      </c>
      <c r="BB32" s="20">
        <f>-BB23*입력값!$B$110*(1+입력값!$B$49)^(BB6-1)</f>
        <v/>
      </c>
      <c r="BC32" s="20">
        <f>-BC23*입력값!$B$110*(1+입력값!$B$49)^(BC6-1)</f>
        <v/>
      </c>
      <c r="BD32" s="20">
        <f>-BD23*입력값!$B$110*(1+입력값!$B$49)^(BD6-1)</f>
        <v/>
      </c>
      <c r="BE32" s="20">
        <f>-BE23*입력값!$B$110*(1+입력값!$B$49)^(BE6-1)</f>
        <v/>
      </c>
      <c r="BF32" s="20">
        <f>-BF23*입력값!$B$110*(1+입력값!$B$49)^(BF6-1)</f>
        <v/>
      </c>
      <c r="BG32" s="20">
        <f>-BG23*입력값!$B$110*(1+입력값!$B$49)^(BG6-1)</f>
        <v/>
      </c>
      <c r="BH32" s="20">
        <f>-BH23*입력값!$B$110*(1+입력값!$B$49)^(BH6-1)</f>
        <v/>
      </c>
      <c r="BI32" s="20">
        <f>-BI23*입력값!$B$110*(1+입력값!$B$49)^(BI6-1)</f>
        <v/>
      </c>
      <c r="BJ32" s="20">
        <f>-BJ23*입력값!$B$110*(1+입력값!$B$49)^(BJ6-1)</f>
        <v/>
      </c>
    </row>
    <row r="33">
      <c r="A33" s="25" t="inlineStr">
        <is>
          <t>(−) Enterprise 서버 유지보수</t>
        </is>
      </c>
      <c r="C33" s="20">
        <f>-C11*입력값!$B$107</f>
        <v/>
      </c>
      <c r="D33" s="20">
        <f>-D11*입력값!$B$107</f>
        <v/>
      </c>
      <c r="E33" s="20">
        <f>-E11*입력값!$B$107</f>
        <v/>
      </c>
      <c r="F33" s="20">
        <f>-F11*입력값!$B$107</f>
        <v/>
      </c>
      <c r="G33" s="20">
        <f>-G11*입력값!$B$107</f>
        <v/>
      </c>
      <c r="H33" s="20">
        <f>-H11*입력값!$B$107</f>
        <v/>
      </c>
      <c r="I33" s="20">
        <f>-I11*입력값!$B$107</f>
        <v/>
      </c>
      <c r="J33" s="20">
        <f>-J11*입력값!$B$107</f>
        <v/>
      </c>
      <c r="K33" s="20">
        <f>-K11*입력값!$B$107</f>
        <v/>
      </c>
      <c r="L33" s="20">
        <f>-L11*입력값!$B$107</f>
        <v/>
      </c>
      <c r="M33" s="20">
        <f>-M11*입력값!$B$107</f>
        <v/>
      </c>
      <c r="N33" s="20">
        <f>-N11*입력값!$B$107</f>
        <v/>
      </c>
      <c r="O33" s="20">
        <f>-O11*입력값!$B$107</f>
        <v/>
      </c>
      <c r="P33" s="20">
        <f>-P11*입력값!$B$107</f>
        <v/>
      </c>
      <c r="Q33" s="20">
        <f>-Q11*입력값!$B$107</f>
        <v/>
      </c>
      <c r="R33" s="20">
        <f>-R11*입력값!$B$107</f>
        <v/>
      </c>
      <c r="S33" s="20">
        <f>-S11*입력값!$B$107</f>
        <v/>
      </c>
      <c r="T33" s="20">
        <f>-T11*입력값!$B$107</f>
        <v/>
      </c>
      <c r="U33" s="20">
        <f>-U11*입력값!$B$107</f>
        <v/>
      </c>
      <c r="V33" s="20">
        <f>-V11*입력값!$B$107</f>
        <v/>
      </c>
      <c r="W33" s="20">
        <f>-W11*입력값!$B$107</f>
        <v/>
      </c>
      <c r="X33" s="20">
        <f>-X11*입력값!$B$107</f>
        <v/>
      </c>
      <c r="Y33" s="20">
        <f>-Y11*입력값!$B$107</f>
        <v/>
      </c>
      <c r="Z33" s="20">
        <f>-Z11*입력값!$B$107</f>
        <v/>
      </c>
      <c r="AA33" s="20">
        <f>-AA11*입력값!$B$107</f>
        <v/>
      </c>
      <c r="AB33" s="20">
        <f>-AB11*입력값!$B$107</f>
        <v/>
      </c>
      <c r="AC33" s="20">
        <f>-AC11*입력값!$B$107</f>
        <v/>
      </c>
      <c r="AD33" s="20">
        <f>-AD11*입력값!$B$107</f>
        <v/>
      </c>
      <c r="AE33" s="20">
        <f>-AE11*입력값!$B$107</f>
        <v/>
      </c>
      <c r="AF33" s="20">
        <f>-AF11*입력값!$B$107</f>
        <v/>
      </c>
      <c r="AG33" s="20">
        <f>-AG11*입력값!$B$107</f>
        <v/>
      </c>
      <c r="AH33" s="20">
        <f>-AH11*입력값!$B$107</f>
        <v/>
      </c>
      <c r="AI33" s="20">
        <f>-AI11*입력값!$B$107</f>
        <v/>
      </c>
      <c r="AJ33" s="20">
        <f>-AJ11*입력값!$B$107</f>
        <v/>
      </c>
      <c r="AK33" s="20">
        <f>-AK11*입력값!$B$107</f>
        <v/>
      </c>
      <c r="AL33" s="20">
        <f>-AL11*입력값!$B$107</f>
        <v/>
      </c>
      <c r="AM33" s="20">
        <f>-AM11*입력값!$B$107</f>
        <v/>
      </c>
      <c r="AN33" s="20">
        <f>-AN11*입력값!$B$107</f>
        <v/>
      </c>
      <c r="AO33" s="20">
        <f>-AO11*입력값!$B$107</f>
        <v/>
      </c>
      <c r="AP33" s="20">
        <f>-AP11*입력값!$B$107</f>
        <v/>
      </c>
      <c r="AQ33" s="20">
        <f>-AQ11*입력값!$B$107</f>
        <v/>
      </c>
      <c r="AR33" s="20">
        <f>-AR11*입력값!$B$107</f>
        <v/>
      </c>
      <c r="AS33" s="20">
        <f>-AS11*입력값!$B$107</f>
        <v/>
      </c>
      <c r="AT33" s="20">
        <f>-AT11*입력값!$B$107</f>
        <v/>
      </c>
      <c r="AU33" s="20">
        <f>-AU11*입력값!$B$107</f>
        <v/>
      </c>
      <c r="AV33" s="20">
        <f>-AV11*입력값!$B$107</f>
        <v/>
      </c>
      <c r="AW33" s="20">
        <f>-AW11*입력값!$B$107</f>
        <v/>
      </c>
      <c r="AX33" s="20">
        <f>-AX11*입력값!$B$107</f>
        <v/>
      </c>
      <c r="AY33" s="20">
        <f>-AY11*입력값!$B$107</f>
        <v/>
      </c>
      <c r="AZ33" s="20">
        <f>-AZ11*입력값!$B$107</f>
        <v/>
      </c>
      <c r="BA33" s="20">
        <f>-BA11*입력값!$B$107</f>
        <v/>
      </c>
      <c r="BB33" s="20">
        <f>-BB11*입력값!$B$107</f>
        <v/>
      </c>
      <c r="BC33" s="20">
        <f>-BC11*입력값!$B$107</f>
        <v/>
      </c>
      <c r="BD33" s="20">
        <f>-BD11*입력값!$B$107</f>
        <v/>
      </c>
      <c r="BE33" s="20">
        <f>-BE11*입력값!$B$107</f>
        <v/>
      </c>
      <c r="BF33" s="20">
        <f>-BF11*입력값!$B$107</f>
        <v/>
      </c>
      <c r="BG33" s="20">
        <f>-BG11*입력값!$B$107</f>
        <v/>
      </c>
      <c r="BH33" s="20">
        <f>-BH11*입력값!$B$107</f>
        <v/>
      </c>
      <c r="BI33" s="20">
        <f>-BI11*입력값!$B$107</f>
        <v/>
      </c>
      <c r="BJ33" s="20">
        <f>-BJ11*입력값!$B$107</f>
        <v/>
      </c>
    </row>
    <row r="34">
      <c r="A34" s="25" t="inlineStr">
        <is>
          <t>(−) Enterprise 서버 구축비 (1회)</t>
        </is>
      </c>
      <c r="C34" s="20">
        <f>-C12*입력값!$B$105</f>
        <v/>
      </c>
      <c r="D34" s="20">
        <f>-D12*입력값!$B$105</f>
        <v/>
      </c>
      <c r="E34" s="20">
        <f>-E12*입력값!$B$105</f>
        <v/>
      </c>
      <c r="F34" s="20">
        <f>-F12*입력값!$B$105</f>
        <v/>
      </c>
      <c r="G34" s="20">
        <f>-G12*입력값!$B$105</f>
        <v/>
      </c>
      <c r="H34" s="20">
        <f>-H12*입력값!$B$105</f>
        <v/>
      </c>
      <c r="I34" s="20">
        <f>-I12*입력값!$B$105</f>
        <v/>
      </c>
      <c r="J34" s="20">
        <f>-J12*입력값!$B$105</f>
        <v/>
      </c>
      <c r="K34" s="20">
        <f>-K12*입력값!$B$105</f>
        <v/>
      </c>
      <c r="L34" s="20">
        <f>-L12*입력값!$B$105</f>
        <v/>
      </c>
      <c r="M34" s="20">
        <f>-M12*입력값!$B$105</f>
        <v/>
      </c>
      <c r="N34" s="20">
        <f>-N12*입력값!$B$105</f>
        <v/>
      </c>
      <c r="O34" s="20">
        <f>-O12*입력값!$B$105</f>
        <v/>
      </c>
      <c r="P34" s="20">
        <f>-P12*입력값!$B$105</f>
        <v/>
      </c>
      <c r="Q34" s="20">
        <f>-Q12*입력값!$B$105</f>
        <v/>
      </c>
      <c r="R34" s="20">
        <f>-R12*입력값!$B$105</f>
        <v/>
      </c>
      <c r="S34" s="20">
        <f>-S12*입력값!$B$105</f>
        <v/>
      </c>
      <c r="T34" s="20">
        <f>-T12*입력값!$B$105</f>
        <v/>
      </c>
      <c r="U34" s="20">
        <f>-U12*입력값!$B$105</f>
        <v/>
      </c>
      <c r="V34" s="20">
        <f>-V12*입력값!$B$105</f>
        <v/>
      </c>
      <c r="W34" s="20">
        <f>-W12*입력값!$B$105</f>
        <v/>
      </c>
      <c r="X34" s="20">
        <f>-X12*입력값!$B$105</f>
        <v/>
      </c>
      <c r="Y34" s="20">
        <f>-Y12*입력값!$B$105</f>
        <v/>
      </c>
      <c r="Z34" s="20">
        <f>-Z12*입력값!$B$105</f>
        <v/>
      </c>
      <c r="AA34" s="20">
        <f>-AA12*입력값!$B$105</f>
        <v/>
      </c>
      <c r="AB34" s="20">
        <f>-AB12*입력값!$B$105</f>
        <v/>
      </c>
      <c r="AC34" s="20">
        <f>-AC12*입력값!$B$105</f>
        <v/>
      </c>
      <c r="AD34" s="20">
        <f>-AD12*입력값!$B$105</f>
        <v/>
      </c>
      <c r="AE34" s="20">
        <f>-AE12*입력값!$B$105</f>
        <v/>
      </c>
      <c r="AF34" s="20">
        <f>-AF12*입력값!$B$105</f>
        <v/>
      </c>
      <c r="AG34" s="20">
        <f>-AG12*입력값!$B$105</f>
        <v/>
      </c>
      <c r="AH34" s="20">
        <f>-AH12*입력값!$B$105</f>
        <v/>
      </c>
      <c r="AI34" s="20">
        <f>-AI12*입력값!$B$105</f>
        <v/>
      </c>
      <c r="AJ34" s="20">
        <f>-AJ12*입력값!$B$105</f>
        <v/>
      </c>
      <c r="AK34" s="20">
        <f>-AK12*입력값!$B$105</f>
        <v/>
      </c>
      <c r="AL34" s="20">
        <f>-AL12*입력값!$B$105</f>
        <v/>
      </c>
      <c r="AM34" s="20">
        <f>-AM12*입력값!$B$105</f>
        <v/>
      </c>
      <c r="AN34" s="20">
        <f>-AN12*입력값!$B$105</f>
        <v/>
      </c>
      <c r="AO34" s="20">
        <f>-AO12*입력값!$B$105</f>
        <v/>
      </c>
      <c r="AP34" s="20">
        <f>-AP12*입력값!$B$105</f>
        <v/>
      </c>
      <c r="AQ34" s="20">
        <f>-AQ12*입력값!$B$105</f>
        <v/>
      </c>
      <c r="AR34" s="20">
        <f>-AR12*입력값!$B$105</f>
        <v/>
      </c>
      <c r="AS34" s="20">
        <f>-AS12*입력값!$B$105</f>
        <v/>
      </c>
      <c r="AT34" s="20">
        <f>-AT12*입력값!$B$105</f>
        <v/>
      </c>
      <c r="AU34" s="20">
        <f>-AU12*입력값!$B$105</f>
        <v/>
      </c>
      <c r="AV34" s="20">
        <f>-AV12*입력값!$B$105</f>
        <v/>
      </c>
      <c r="AW34" s="20">
        <f>-AW12*입력값!$B$105</f>
        <v/>
      </c>
      <c r="AX34" s="20">
        <f>-AX12*입력값!$B$105</f>
        <v/>
      </c>
      <c r="AY34" s="20">
        <f>-AY12*입력값!$B$105</f>
        <v/>
      </c>
      <c r="AZ34" s="20">
        <f>-AZ12*입력값!$B$105</f>
        <v/>
      </c>
      <c r="BA34" s="20">
        <f>-BA12*입력값!$B$105</f>
        <v/>
      </c>
      <c r="BB34" s="20">
        <f>-BB12*입력값!$B$105</f>
        <v/>
      </c>
      <c r="BC34" s="20">
        <f>-BC12*입력값!$B$105</f>
        <v/>
      </c>
      <c r="BD34" s="20">
        <f>-BD12*입력값!$B$105</f>
        <v/>
      </c>
      <c r="BE34" s="20">
        <f>-BE12*입력값!$B$105</f>
        <v/>
      </c>
      <c r="BF34" s="20">
        <f>-BF12*입력값!$B$105</f>
        <v/>
      </c>
      <c r="BG34" s="20">
        <f>-BG12*입력값!$B$105</f>
        <v/>
      </c>
      <c r="BH34" s="20">
        <f>-BH12*입력값!$B$105</f>
        <v/>
      </c>
      <c r="BI34" s="20">
        <f>-BI12*입력값!$B$105</f>
        <v/>
      </c>
      <c r="BJ34" s="20">
        <f>-BJ12*입력값!$B$105</f>
        <v/>
      </c>
    </row>
    <row r="35">
      <c r="A35" s="25" t="inlineStr">
        <is>
          <t>(−) 기타 초기 비용 (1회)</t>
        </is>
      </c>
      <c r="C35" s="20">
        <f>IF(C4=1,-입력값!$B$35,0)</f>
        <v/>
      </c>
      <c r="D35" s="20">
        <f>IF(D4=1,-입력값!$B$35,0)</f>
        <v/>
      </c>
      <c r="E35" s="20">
        <f>IF(E4=1,-입력값!$B$35,0)</f>
        <v/>
      </c>
      <c r="F35" s="20">
        <f>IF(F4=1,-입력값!$B$35,0)</f>
        <v/>
      </c>
      <c r="G35" s="20">
        <f>IF(G4=1,-입력값!$B$35,0)</f>
        <v/>
      </c>
      <c r="H35" s="20">
        <f>IF(H4=1,-입력값!$B$35,0)</f>
        <v/>
      </c>
      <c r="I35" s="20">
        <f>IF(I4=1,-입력값!$B$35,0)</f>
        <v/>
      </c>
      <c r="J35" s="20">
        <f>IF(J4=1,-입력값!$B$35,0)</f>
        <v/>
      </c>
      <c r="K35" s="20">
        <f>IF(K4=1,-입력값!$B$35,0)</f>
        <v/>
      </c>
      <c r="L35" s="20">
        <f>IF(L4=1,-입력값!$B$35,0)</f>
        <v/>
      </c>
      <c r="M35" s="20">
        <f>IF(M4=1,-입력값!$B$35,0)</f>
        <v/>
      </c>
      <c r="N35" s="20">
        <f>IF(N4=1,-입력값!$B$35,0)</f>
        <v/>
      </c>
      <c r="O35" s="20">
        <f>IF(O4=1,-입력값!$B$35,0)</f>
        <v/>
      </c>
      <c r="P35" s="20">
        <f>IF(P4=1,-입력값!$B$35,0)</f>
        <v/>
      </c>
      <c r="Q35" s="20">
        <f>IF(Q4=1,-입력값!$B$35,0)</f>
        <v/>
      </c>
      <c r="R35" s="20">
        <f>IF(R4=1,-입력값!$B$35,0)</f>
        <v/>
      </c>
      <c r="S35" s="20">
        <f>IF(S4=1,-입력값!$B$35,0)</f>
        <v/>
      </c>
      <c r="T35" s="20">
        <f>IF(T4=1,-입력값!$B$35,0)</f>
        <v/>
      </c>
      <c r="U35" s="20">
        <f>IF(U4=1,-입력값!$B$35,0)</f>
        <v/>
      </c>
      <c r="V35" s="20">
        <f>IF(V4=1,-입력값!$B$35,0)</f>
        <v/>
      </c>
      <c r="W35" s="20">
        <f>IF(W4=1,-입력값!$B$35,0)</f>
        <v/>
      </c>
      <c r="X35" s="20">
        <f>IF(X4=1,-입력값!$B$35,0)</f>
        <v/>
      </c>
      <c r="Y35" s="20">
        <f>IF(Y4=1,-입력값!$B$35,0)</f>
        <v/>
      </c>
      <c r="Z35" s="20">
        <f>IF(Z4=1,-입력값!$B$35,0)</f>
        <v/>
      </c>
      <c r="AA35" s="20">
        <f>IF(AA4=1,-입력값!$B$35,0)</f>
        <v/>
      </c>
      <c r="AB35" s="20">
        <f>IF(AB4=1,-입력값!$B$35,0)</f>
        <v/>
      </c>
      <c r="AC35" s="20">
        <f>IF(AC4=1,-입력값!$B$35,0)</f>
        <v/>
      </c>
      <c r="AD35" s="20">
        <f>IF(AD4=1,-입력값!$B$35,0)</f>
        <v/>
      </c>
      <c r="AE35" s="20">
        <f>IF(AE4=1,-입력값!$B$35,0)</f>
        <v/>
      </c>
      <c r="AF35" s="20">
        <f>IF(AF4=1,-입력값!$B$35,0)</f>
        <v/>
      </c>
      <c r="AG35" s="20">
        <f>IF(AG4=1,-입력값!$B$35,0)</f>
        <v/>
      </c>
      <c r="AH35" s="20">
        <f>IF(AH4=1,-입력값!$B$35,0)</f>
        <v/>
      </c>
      <c r="AI35" s="20">
        <f>IF(AI4=1,-입력값!$B$35,0)</f>
        <v/>
      </c>
      <c r="AJ35" s="20">
        <f>IF(AJ4=1,-입력값!$B$35,0)</f>
        <v/>
      </c>
      <c r="AK35" s="20">
        <f>IF(AK4=1,-입력값!$B$35,0)</f>
        <v/>
      </c>
      <c r="AL35" s="20">
        <f>IF(AL4=1,-입력값!$B$35,0)</f>
        <v/>
      </c>
      <c r="AM35" s="20">
        <f>IF(AM4=1,-입력값!$B$35,0)</f>
        <v/>
      </c>
      <c r="AN35" s="20">
        <f>IF(AN4=1,-입력값!$B$35,0)</f>
        <v/>
      </c>
      <c r="AO35" s="20">
        <f>IF(AO4=1,-입력값!$B$35,0)</f>
        <v/>
      </c>
      <c r="AP35" s="20">
        <f>IF(AP4=1,-입력값!$B$35,0)</f>
        <v/>
      </c>
      <c r="AQ35" s="20">
        <f>IF(AQ4=1,-입력값!$B$35,0)</f>
        <v/>
      </c>
      <c r="AR35" s="20">
        <f>IF(AR4=1,-입력값!$B$35,0)</f>
        <v/>
      </c>
      <c r="AS35" s="20">
        <f>IF(AS4=1,-입력값!$B$35,0)</f>
        <v/>
      </c>
      <c r="AT35" s="20">
        <f>IF(AT4=1,-입력값!$B$35,0)</f>
        <v/>
      </c>
      <c r="AU35" s="20">
        <f>IF(AU4=1,-입력값!$B$35,0)</f>
        <v/>
      </c>
      <c r="AV35" s="20">
        <f>IF(AV4=1,-입력값!$B$35,0)</f>
        <v/>
      </c>
      <c r="AW35" s="20">
        <f>IF(AW4=1,-입력값!$B$35,0)</f>
        <v/>
      </c>
      <c r="AX35" s="20">
        <f>IF(AX4=1,-입력값!$B$35,0)</f>
        <v/>
      </c>
      <c r="AY35" s="20">
        <f>IF(AY4=1,-입력값!$B$35,0)</f>
        <v/>
      </c>
      <c r="AZ35" s="20">
        <f>IF(AZ4=1,-입력값!$B$35,0)</f>
        <v/>
      </c>
      <c r="BA35" s="20">
        <f>IF(BA4=1,-입력값!$B$35,0)</f>
        <v/>
      </c>
      <c r="BB35" s="20">
        <f>IF(BB4=1,-입력값!$B$35,0)</f>
        <v/>
      </c>
      <c r="BC35" s="20">
        <f>IF(BC4=1,-입력값!$B$35,0)</f>
        <v/>
      </c>
      <c r="BD35" s="20">
        <f>IF(BD4=1,-입력값!$B$35,0)</f>
        <v/>
      </c>
      <c r="BE35" s="20">
        <f>IF(BE4=1,-입력값!$B$35,0)</f>
        <v/>
      </c>
      <c r="BF35" s="20">
        <f>IF(BF4=1,-입력값!$B$35,0)</f>
        <v/>
      </c>
      <c r="BG35" s="20">
        <f>IF(BG4=1,-입력값!$B$35,0)</f>
        <v/>
      </c>
      <c r="BH35" s="20">
        <f>IF(BH4=1,-입력값!$B$35,0)</f>
        <v/>
      </c>
      <c r="BI35" s="20">
        <f>IF(BI4=1,-입력값!$B$35,0)</f>
        <v/>
      </c>
      <c r="BJ35" s="20">
        <f>IF(BJ4=1,-입력값!$B$35,0)</f>
        <v/>
      </c>
    </row>
    <row r="36">
      <c r="A36" s="25" t="inlineStr">
        <is>
          <t>(−) 월세</t>
        </is>
      </c>
      <c r="C36" s="20">
        <f>-입력값!$B$27</f>
        <v/>
      </c>
      <c r="D36" s="20">
        <f>-입력값!$B$27</f>
        <v/>
      </c>
      <c r="E36" s="20">
        <f>-입력값!$B$27</f>
        <v/>
      </c>
      <c r="F36" s="20">
        <f>-입력값!$B$27</f>
        <v/>
      </c>
      <c r="G36" s="20">
        <f>-입력값!$B$27</f>
        <v/>
      </c>
      <c r="H36" s="20">
        <f>-입력값!$B$27</f>
        <v/>
      </c>
      <c r="I36" s="20">
        <f>-입력값!$B$27</f>
        <v/>
      </c>
      <c r="J36" s="20">
        <f>-입력값!$B$27</f>
        <v/>
      </c>
      <c r="K36" s="20">
        <f>-입력값!$B$27</f>
        <v/>
      </c>
      <c r="L36" s="20">
        <f>-입력값!$B$27</f>
        <v/>
      </c>
      <c r="M36" s="20">
        <f>-입력값!$B$27</f>
        <v/>
      </c>
      <c r="N36" s="20">
        <f>-입력값!$B$27</f>
        <v/>
      </c>
      <c r="O36" s="20">
        <f>-입력값!$B$27</f>
        <v/>
      </c>
      <c r="P36" s="20">
        <f>-입력값!$B$27</f>
        <v/>
      </c>
      <c r="Q36" s="20">
        <f>-입력값!$B$27</f>
        <v/>
      </c>
      <c r="R36" s="20">
        <f>-입력값!$B$27</f>
        <v/>
      </c>
      <c r="S36" s="20">
        <f>-입력값!$B$27</f>
        <v/>
      </c>
      <c r="T36" s="20">
        <f>-입력값!$B$27</f>
        <v/>
      </c>
      <c r="U36" s="20">
        <f>-입력값!$B$27</f>
        <v/>
      </c>
      <c r="V36" s="20">
        <f>-입력값!$B$27</f>
        <v/>
      </c>
      <c r="W36" s="20">
        <f>-입력값!$B$27</f>
        <v/>
      </c>
      <c r="X36" s="20">
        <f>-입력값!$B$27</f>
        <v/>
      </c>
      <c r="Y36" s="20">
        <f>-입력값!$B$27</f>
        <v/>
      </c>
      <c r="Z36" s="20">
        <f>-입력값!$B$27</f>
        <v/>
      </c>
      <c r="AA36" s="20">
        <f>-입력값!$B$27</f>
        <v/>
      </c>
      <c r="AB36" s="20">
        <f>-입력값!$B$27</f>
        <v/>
      </c>
      <c r="AC36" s="20">
        <f>-입력값!$B$27</f>
        <v/>
      </c>
      <c r="AD36" s="20">
        <f>-입력값!$B$27</f>
        <v/>
      </c>
      <c r="AE36" s="20">
        <f>-입력값!$B$27</f>
        <v/>
      </c>
      <c r="AF36" s="20">
        <f>-입력값!$B$27</f>
        <v/>
      </c>
      <c r="AG36" s="20">
        <f>-입력값!$B$27</f>
        <v/>
      </c>
      <c r="AH36" s="20">
        <f>-입력값!$B$27</f>
        <v/>
      </c>
      <c r="AI36" s="20">
        <f>-입력값!$B$27</f>
        <v/>
      </c>
      <c r="AJ36" s="20">
        <f>-입력값!$B$27</f>
        <v/>
      </c>
      <c r="AK36" s="20">
        <f>-입력값!$B$27</f>
        <v/>
      </c>
      <c r="AL36" s="20">
        <f>-입력값!$B$27</f>
        <v/>
      </c>
      <c r="AM36" s="20">
        <f>-입력값!$B$27</f>
        <v/>
      </c>
      <c r="AN36" s="20">
        <f>-입력값!$B$27</f>
        <v/>
      </c>
      <c r="AO36" s="20">
        <f>-입력값!$B$27</f>
        <v/>
      </c>
      <c r="AP36" s="20">
        <f>-입력값!$B$27</f>
        <v/>
      </c>
      <c r="AQ36" s="20">
        <f>-입력값!$B$27</f>
        <v/>
      </c>
      <c r="AR36" s="20">
        <f>-입력값!$B$27</f>
        <v/>
      </c>
      <c r="AS36" s="20">
        <f>-입력값!$B$27</f>
        <v/>
      </c>
      <c r="AT36" s="20">
        <f>-입력값!$B$27</f>
        <v/>
      </c>
      <c r="AU36" s="20">
        <f>-입력값!$B$27</f>
        <v/>
      </c>
      <c r="AV36" s="20">
        <f>-입력값!$B$27</f>
        <v/>
      </c>
      <c r="AW36" s="20">
        <f>-입력값!$B$27</f>
        <v/>
      </c>
      <c r="AX36" s="20">
        <f>-입력값!$B$27</f>
        <v/>
      </c>
      <c r="AY36" s="20">
        <f>-입력값!$B$27</f>
        <v/>
      </c>
      <c r="AZ36" s="20">
        <f>-입력값!$B$27</f>
        <v/>
      </c>
      <c r="BA36" s="20">
        <f>-입력값!$B$27</f>
        <v/>
      </c>
      <c r="BB36" s="20">
        <f>-입력값!$B$27</f>
        <v/>
      </c>
      <c r="BC36" s="20">
        <f>-입력값!$B$27</f>
        <v/>
      </c>
      <c r="BD36" s="20">
        <f>-입력값!$B$27</f>
        <v/>
      </c>
      <c r="BE36" s="20">
        <f>-입력값!$B$27</f>
        <v/>
      </c>
      <c r="BF36" s="20">
        <f>-입력값!$B$27</f>
        <v/>
      </c>
      <c r="BG36" s="20">
        <f>-입력값!$B$27</f>
        <v/>
      </c>
      <c r="BH36" s="20">
        <f>-입력값!$B$27</f>
        <v/>
      </c>
      <c r="BI36" s="20">
        <f>-입력값!$B$27</f>
        <v/>
      </c>
      <c r="BJ36" s="20">
        <f>-입력값!$B$27</f>
        <v/>
      </c>
    </row>
    <row r="37">
      <c r="A37" s="25" t="inlineStr">
        <is>
          <t>(−) 기타 고정비</t>
        </is>
      </c>
      <c r="C37" s="20">
        <f>-(입력값!$B$31-입력값!$B$27)</f>
        <v/>
      </c>
      <c r="D37" s="20">
        <f>-(입력값!$B$31-입력값!$B$27)</f>
        <v/>
      </c>
      <c r="E37" s="20">
        <f>-(입력값!$B$31-입력값!$B$27)</f>
        <v/>
      </c>
      <c r="F37" s="20">
        <f>-(입력값!$B$31-입력값!$B$27)</f>
        <v/>
      </c>
      <c r="G37" s="20">
        <f>-(입력값!$B$31-입력값!$B$27)</f>
        <v/>
      </c>
      <c r="H37" s="20">
        <f>-(입력값!$B$31-입력값!$B$27)</f>
        <v/>
      </c>
      <c r="I37" s="20">
        <f>-(입력값!$B$31-입력값!$B$27)</f>
        <v/>
      </c>
      <c r="J37" s="20">
        <f>-(입력값!$B$31-입력값!$B$27)</f>
        <v/>
      </c>
      <c r="K37" s="20">
        <f>-(입력값!$B$31-입력값!$B$27)</f>
        <v/>
      </c>
      <c r="L37" s="20">
        <f>-(입력값!$B$31-입력값!$B$27)</f>
        <v/>
      </c>
      <c r="M37" s="20">
        <f>-(입력값!$B$31-입력값!$B$27)</f>
        <v/>
      </c>
      <c r="N37" s="20">
        <f>-(입력값!$B$31-입력값!$B$27)</f>
        <v/>
      </c>
      <c r="O37" s="20">
        <f>-(입력값!$B$31-입력값!$B$27)</f>
        <v/>
      </c>
      <c r="P37" s="20">
        <f>-(입력값!$B$31-입력값!$B$27)</f>
        <v/>
      </c>
      <c r="Q37" s="20">
        <f>-(입력값!$B$31-입력값!$B$27)</f>
        <v/>
      </c>
      <c r="R37" s="20">
        <f>-(입력값!$B$31-입력값!$B$27)</f>
        <v/>
      </c>
      <c r="S37" s="20">
        <f>-(입력값!$B$31-입력값!$B$27)</f>
        <v/>
      </c>
      <c r="T37" s="20">
        <f>-(입력값!$B$31-입력값!$B$27)</f>
        <v/>
      </c>
      <c r="U37" s="20">
        <f>-(입력값!$B$31-입력값!$B$27)</f>
        <v/>
      </c>
      <c r="V37" s="20">
        <f>-(입력값!$B$31-입력값!$B$27)</f>
        <v/>
      </c>
      <c r="W37" s="20">
        <f>-(입력값!$B$31-입력값!$B$27)</f>
        <v/>
      </c>
      <c r="X37" s="20">
        <f>-(입력값!$B$31-입력값!$B$27)</f>
        <v/>
      </c>
      <c r="Y37" s="20">
        <f>-(입력값!$B$31-입력값!$B$27)</f>
        <v/>
      </c>
      <c r="Z37" s="20">
        <f>-(입력값!$B$31-입력값!$B$27)</f>
        <v/>
      </c>
      <c r="AA37" s="20">
        <f>-(입력값!$B$31-입력값!$B$27)</f>
        <v/>
      </c>
      <c r="AB37" s="20">
        <f>-(입력값!$B$31-입력값!$B$27)</f>
        <v/>
      </c>
      <c r="AC37" s="20">
        <f>-(입력값!$B$31-입력값!$B$27)</f>
        <v/>
      </c>
      <c r="AD37" s="20">
        <f>-(입력값!$B$31-입력값!$B$27)</f>
        <v/>
      </c>
      <c r="AE37" s="20">
        <f>-(입력값!$B$31-입력값!$B$27)</f>
        <v/>
      </c>
      <c r="AF37" s="20">
        <f>-(입력값!$B$31-입력값!$B$27)</f>
        <v/>
      </c>
      <c r="AG37" s="20">
        <f>-(입력값!$B$31-입력값!$B$27)</f>
        <v/>
      </c>
      <c r="AH37" s="20">
        <f>-(입력값!$B$31-입력값!$B$27)</f>
        <v/>
      </c>
      <c r="AI37" s="20">
        <f>-(입력값!$B$31-입력값!$B$27)</f>
        <v/>
      </c>
      <c r="AJ37" s="20">
        <f>-(입력값!$B$31-입력값!$B$27)</f>
        <v/>
      </c>
      <c r="AK37" s="20">
        <f>-(입력값!$B$31-입력값!$B$27)</f>
        <v/>
      </c>
      <c r="AL37" s="20">
        <f>-(입력값!$B$31-입력값!$B$27)</f>
        <v/>
      </c>
      <c r="AM37" s="20">
        <f>-(입력값!$B$31-입력값!$B$27)</f>
        <v/>
      </c>
      <c r="AN37" s="20">
        <f>-(입력값!$B$31-입력값!$B$27)</f>
        <v/>
      </c>
      <c r="AO37" s="20">
        <f>-(입력값!$B$31-입력값!$B$27)</f>
        <v/>
      </c>
      <c r="AP37" s="20">
        <f>-(입력값!$B$31-입력값!$B$27)</f>
        <v/>
      </c>
      <c r="AQ37" s="20">
        <f>-(입력값!$B$31-입력값!$B$27)</f>
        <v/>
      </c>
      <c r="AR37" s="20">
        <f>-(입력값!$B$31-입력값!$B$27)</f>
        <v/>
      </c>
      <c r="AS37" s="20">
        <f>-(입력값!$B$31-입력값!$B$27)</f>
        <v/>
      </c>
      <c r="AT37" s="20">
        <f>-(입력값!$B$31-입력값!$B$27)</f>
        <v/>
      </c>
      <c r="AU37" s="20">
        <f>-(입력값!$B$31-입력값!$B$27)</f>
        <v/>
      </c>
      <c r="AV37" s="20">
        <f>-(입력값!$B$31-입력값!$B$27)</f>
        <v/>
      </c>
      <c r="AW37" s="20">
        <f>-(입력값!$B$31-입력값!$B$27)</f>
        <v/>
      </c>
      <c r="AX37" s="20">
        <f>-(입력값!$B$31-입력값!$B$27)</f>
        <v/>
      </c>
      <c r="AY37" s="20">
        <f>-(입력값!$B$31-입력값!$B$27)</f>
        <v/>
      </c>
      <c r="AZ37" s="20">
        <f>-(입력값!$B$31-입력값!$B$27)</f>
        <v/>
      </c>
      <c r="BA37" s="20">
        <f>-(입력값!$B$31-입력값!$B$27)</f>
        <v/>
      </c>
      <c r="BB37" s="20">
        <f>-(입력값!$B$31-입력값!$B$27)</f>
        <v/>
      </c>
      <c r="BC37" s="20">
        <f>-(입력값!$B$31-입력값!$B$27)</f>
        <v/>
      </c>
      <c r="BD37" s="20">
        <f>-(입력값!$B$31-입력값!$B$27)</f>
        <v/>
      </c>
      <c r="BE37" s="20">
        <f>-(입력값!$B$31-입력값!$B$27)</f>
        <v/>
      </c>
      <c r="BF37" s="20">
        <f>-(입력값!$B$31-입력값!$B$27)</f>
        <v/>
      </c>
      <c r="BG37" s="20">
        <f>-(입력값!$B$31-입력값!$B$27)</f>
        <v/>
      </c>
      <c r="BH37" s="20">
        <f>-(입력값!$B$31-입력값!$B$27)</f>
        <v/>
      </c>
      <c r="BI37" s="20">
        <f>-(입력값!$B$31-입력값!$B$27)</f>
        <v/>
      </c>
      <c r="BJ37" s="20">
        <f>-(입력값!$B$31-입력값!$B$27)</f>
        <v/>
      </c>
    </row>
    <row r="38">
      <c r="A38" s="8" t="inlineStr">
        <is>
          <t>→ 세전이익 (영업이익)</t>
        </is>
      </c>
      <c r="C38" s="11">
        <f>SUM(C29:C37)</f>
        <v/>
      </c>
      <c r="D38" s="11">
        <f>SUM(D29:D37)</f>
        <v/>
      </c>
      <c r="E38" s="11">
        <f>SUM(E29:E37)</f>
        <v/>
      </c>
      <c r="F38" s="11">
        <f>SUM(F29:F37)</f>
        <v/>
      </c>
      <c r="G38" s="11">
        <f>SUM(G29:G37)</f>
        <v/>
      </c>
      <c r="H38" s="11">
        <f>SUM(H29:H37)</f>
        <v/>
      </c>
      <c r="I38" s="11">
        <f>SUM(I29:I37)</f>
        <v/>
      </c>
      <c r="J38" s="11">
        <f>SUM(J29:J37)</f>
        <v/>
      </c>
      <c r="K38" s="11">
        <f>SUM(K29:K37)</f>
        <v/>
      </c>
      <c r="L38" s="11">
        <f>SUM(L29:L37)</f>
        <v/>
      </c>
      <c r="M38" s="11">
        <f>SUM(M29:M37)</f>
        <v/>
      </c>
      <c r="N38" s="11">
        <f>SUM(N29:N37)</f>
        <v/>
      </c>
      <c r="O38" s="11">
        <f>SUM(O29:O37)</f>
        <v/>
      </c>
      <c r="P38" s="11">
        <f>SUM(P29:P37)</f>
        <v/>
      </c>
      <c r="Q38" s="11">
        <f>SUM(Q29:Q37)</f>
        <v/>
      </c>
      <c r="R38" s="11">
        <f>SUM(R29:R37)</f>
        <v/>
      </c>
      <c r="S38" s="11">
        <f>SUM(S29:S37)</f>
        <v/>
      </c>
      <c r="T38" s="11">
        <f>SUM(T29:T37)</f>
        <v/>
      </c>
      <c r="U38" s="11">
        <f>SUM(U29:U37)</f>
        <v/>
      </c>
      <c r="V38" s="11">
        <f>SUM(V29:V37)</f>
        <v/>
      </c>
      <c r="W38" s="11">
        <f>SUM(W29:W37)</f>
        <v/>
      </c>
      <c r="X38" s="11">
        <f>SUM(X29:X37)</f>
        <v/>
      </c>
      <c r="Y38" s="11">
        <f>SUM(Y29:Y37)</f>
        <v/>
      </c>
      <c r="Z38" s="11">
        <f>SUM(Z29:Z37)</f>
        <v/>
      </c>
      <c r="AA38" s="11">
        <f>SUM(AA29:AA37)</f>
        <v/>
      </c>
      <c r="AB38" s="11">
        <f>SUM(AB29:AB37)</f>
        <v/>
      </c>
      <c r="AC38" s="11">
        <f>SUM(AC29:AC37)</f>
        <v/>
      </c>
      <c r="AD38" s="11">
        <f>SUM(AD29:AD37)</f>
        <v/>
      </c>
      <c r="AE38" s="11">
        <f>SUM(AE29:AE37)</f>
        <v/>
      </c>
      <c r="AF38" s="11">
        <f>SUM(AF29:AF37)</f>
        <v/>
      </c>
      <c r="AG38" s="11">
        <f>SUM(AG29:AG37)</f>
        <v/>
      </c>
      <c r="AH38" s="11">
        <f>SUM(AH29:AH37)</f>
        <v/>
      </c>
      <c r="AI38" s="11">
        <f>SUM(AI29:AI37)</f>
        <v/>
      </c>
      <c r="AJ38" s="11">
        <f>SUM(AJ29:AJ37)</f>
        <v/>
      </c>
      <c r="AK38" s="11">
        <f>SUM(AK29:AK37)</f>
        <v/>
      </c>
      <c r="AL38" s="11">
        <f>SUM(AL29:AL37)</f>
        <v/>
      </c>
      <c r="AM38" s="11">
        <f>SUM(AM29:AM37)</f>
        <v/>
      </c>
      <c r="AN38" s="11">
        <f>SUM(AN29:AN37)</f>
        <v/>
      </c>
      <c r="AO38" s="11">
        <f>SUM(AO29:AO37)</f>
        <v/>
      </c>
      <c r="AP38" s="11">
        <f>SUM(AP29:AP37)</f>
        <v/>
      </c>
      <c r="AQ38" s="11">
        <f>SUM(AQ29:AQ37)</f>
        <v/>
      </c>
      <c r="AR38" s="11">
        <f>SUM(AR29:AR37)</f>
        <v/>
      </c>
      <c r="AS38" s="11">
        <f>SUM(AS29:AS37)</f>
        <v/>
      </c>
      <c r="AT38" s="11">
        <f>SUM(AT29:AT37)</f>
        <v/>
      </c>
      <c r="AU38" s="11">
        <f>SUM(AU29:AU37)</f>
        <v/>
      </c>
      <c r="AV38" s="11">
        <f>SUM(AV29:AV37)</f>
        <v/>
      </c>
      <c r="AW38" s="11">
        <f>SUM(AW29:AW37)</f>
        <v/>
      </c>
      <c r="AX38" s="11">
        <f>SUM(AX29:AX37)</f>
        <v/>
      </c>
      <c r="AY38" s="11">
        <f>SUM(AY29:AY37)</f>
        <v/>
      </c>
      <c r="AZ38" s="11">
        <f>SUM(AZ29:AZ37)</f>
        <v/>
      </c>
      <c r="BA38" s="11">
        <f>SUM(BA29:BA37)</f>
        <v/>
      </c>
      <c r="BB38" s="11">
        <f>SUM(BB29:BB37)</f>
        <v/>
      </c>
      <c r="BC38" s="11">
        <f>SUM(BC29:BC37)</f>
        <v/>
      </c>
      <c r="BD38" s="11">
        <f>SUM(BD29:BD37)</f>
        <v/>
      </c>
      <c r="BE38" s="11">
        <f>SUM(BE29:BE37)</f>
        <v/>
      </c>
      <c r="BF38" s="11">
        <f>SUM(BF29:BF37)</f>
        <v/>
      </c>
      <c r="BG38" s="11">
        <f>SUM(BG29:BG37)</f>
        <v/>
      </c>
      <c r="BH38" s="11">
        <f>SUM(BH29:BH37)</f>
        <v/>
      </c>
      <c r="BI38" s="11">
        <f>SUM(BI29:BI37)</f>
        <v/>
      </c>
      <c r="BJ38" s="11">
        <f>SUM(BJ29:BJ37)</f>
        <v/>
      </c>
    </row>
    <row r="39">
      <c r="A39" s="25" t="inlineStr">
        <is>
          <t>(−) 법인세 + 지방소득세 (연간 세액 배분)</t>
        </is>
      </c>
      <c r="C39" s="20">
        <f>-IF(INDEX(연도별요약!$B$24:$F$24,C6)&gt;0,INDEX(연도별요약!$B$18:$F$18,C6)*IF(C38&gt;0,C38/INDEX(연도별요약!$B$24:$F$24,C6),0),0)</f>
        <v/>
      </c>
      <c r="D39" s="20">
        <f>-IF(INDEX(연도별요약!$B$24:$F$24,D6)&gt;0,INDEX(연도별요약!$B$18:$F$18,D6)*IF(D38&gt;0,D38/INDEX(연도별요약!$B$24:$F$24,D6),0),0)</f>
        <v/>
      </c>
      <c r="E39" s="20">
        <f>-IF(INDEX(연도별요약!$B$24:$F$24,E6)&gt;0,INDEX(연도별요약!$B$18:$F$18,E6)*IF(E38&gt;0,E38/INDEX(연도별요약!$B$24:$F$24,E6),0),0)</f>
        <v/>
      </c>
      <c r="F39" s="20">
        <f>-IF(INDEX(연도별요약!$B$24:$F$24,F6)&gt;0,INDEX(연도별요약!$B$18:$F$18,F6)*IF(F38&gt;0,F38/INDEX(연도별요약!$B$24:$F$24,F6),0),0)</f>
        <v/>
      </c>
      <c r="G39" s="20">
        <f>-IF(INDEX(연도별요약!$B$24:$F$24,G6)&gt;0,INDEX(연도별요약!$B$18:$F$18,G6)*IF(G38&gt;0,G38/INDEX(연도별요약!$B$24:$F$24,G6),0),0)</f>
        <v/>
      </c>
      <c r="H39" s="20">
        <f>-IF(INDEX(연도별요약!$B$24:$F$24,H6)&gt;0,INDEX(연도별요약!$B$18:$F$18,H6)*IF(H38&gt;0,H38/INDEX(연도별요약!$B$24:$F$24,H6),0),0)</f>
        <v/>
      </c>
      <c r="I39" s="20">
        <f>-IF(INDEX(연도별요약!$B$24:$F$24,I6)&gt;0,INDEX(연도별요약!$B$18:$F$18,I6)*IF(I38&gt;0,I38/INDEX(연도별요약!$B$24:$F$24,I6),0),0)</f>
        <v/>
      </c>
      <c r="J39" s="20">
        <f>-IF(INDEX(연도별요약!$B$24:$F$24,J6)&gt;0,INDEX(연도별요약!$B$18:$F$18,J6)*IF(J38&gt;0,J38/INDEX(연도별요약!$B$24:$F$24,J6),0),0)</f>
        <v/>
      </c>
      <c r="K39" s="20">
        <f>-IF(INDEX(연도별요약!$B$24:$F$24,K6)&gt;0,INDEX(연도별요약!$B$18:$F$18,K6)*IF(K38&gt;0,K38/INDEX(연도별요약!$B$24:$F$24,K6),0),0)</f>
        <v/>
      </c>
      <c r="L39" s="20">
        <f>-IF(INDEX(연도별요약!$B$24:$F$24,L6)&gt;0,INDEX(연도별요약!$B$18:$F$18,L6)*IF(L38&gt;0,L38/INDEX(연도별요약!$B$24:$F$24,L6),0),0)</f>
        <v/>
      </c>
      <c r="M39" s="20">
        <f>-IF(INDEX(연도별요약!$B$24:$F$24,M6)&gt;0,INDEX(연도별요약!$B$18:$F$18,M6)*IF(M38&gt;0,M38/INDEX(연도별요약!$B$24:$F$24,M6),0),0)</f>
        <v/>
      </c>
      <c r="N39" s="20">
        <f>-IF(INDEX(연도별요약!$B$24:$F$24,N6)&gt;0,INDEX(연도별요약!$B$18:$F$18,N6)*IF(N38&gt;0,N38/INDEX(연도별요약!$B$24:$F$24,N6),0),0)</f>
        <v/>
      </c>
      <c r="O39" s="20">
        <f>-IF(INDEX(연도별요약!$B$24:$F$24,O6)&gt;0,INDEX(연도별요약!$B$18:$F$18,O6)*IF(O38&gt;0,O38/INDEX(연도별요약!$B$24:$F$24,O6),0),0)</f>
        <v/>
      </c>
      <c r="P39" s="20">
        <f>-IF(INDEX(연도별요약!$B$24:$F$24,P6)&gt;0,INDEX(연도별요약!$B$18:$F$18,P6)*IF(P38&gt;0,P38/INDEX(연도별요약!$B$24:$F$24,P6),0),0)</f>
        <v/>
      </c>
      <c r="Q39" s="20">
        <f>-IF(INDEX(연도별요약!$B$24:$F$24,Q6)&gt;0,INDEX(연도별요약!$B$18:$F$18,Q6)*IF(Q38&gt;0,Q38/INDEX(연도별요약!$B$24:$F$24,Q6),0),0)</f>
        <v/>
      </c>
      <c r="R39" s="20">
        <f>-IF(INDEX(연도별요약!$B$24:$F$24,R6)&gt;0,INDEX(연도별요약!$B$18:$F$18,R6)*IF(R38&gt;0,R38/INDEX(연도별요약!$B$24:$F$24,R6),0),0)</f>
        <v/>
      </c>
      <c r="S39" s="20">
        <f>-IF(INDEX(연도별요약!$B$24:$F$24,S6)&gt;0,INDEX(연도별요약!$B$18:$F$18,S6)*IF(S38&gt;0,S38/INDEX(연도별요약!$B$24:$F$24,S6),0),0)</f>
        <v/>
      </c>
      <c r="T39" s="20">
        <f>-IF(INDEX(연도별요약!$B$24:$F$24,T6)&gt;0,INDEX(연도별요약!$B$18:$F$18,T6)*IF(T38&gt;0,T38/INDEX(연도별요약!$B$24:$F$24,T6),0),0)</f>
        <v/>
      </c>
      <c r="U39" s="20">
        <f>-IF(INDEX(연도별요약!$B$24:$F$24,U6)&gt;0,INDEX(연도별요약!$B$18:$F$18,U6)*IF(U38&gt;0,U38/INDEX(연도별요약!$B$24:$F$24,U6),0),0)</f>
        <v/>
      </c>
      <c r="V39" s="20">
        <f>-IF(INDEX(연도별요약!$B$24:$F$24,V6)&gt;0,INDEX(연도별요약!$B$18:$F$18,V6)*IF(V38&gt;0,V38/INDEX(연도별요약!$B$24:$F$24,V6),0),0)</f>
        <v/>
      </c>
      <c r="W39" s="20">
        <f>-IF(INDEX(연도별요약!$B$24:$F$24,W6)&gt;0,INDEX(연도별요약!$B$18:$F$18,W6)*IF(W38&gt;0,W38/INDEX(연도별요약!$B$24:$F$24,W6),0),0)</f>
        <v/>
      </c>
      <c r="X39" s="20">
        <f>-IF(INDEX(연도별요약!$B$24:$F$24,X6)&gt;0,INDEX(연도별요약!$B$18:$F$18,X6)*IF(X38&gt;0,X38/INDEX(연도별요약!$B$24:$F$24,X6),0),0)</f>
        <v/>
      </c>
      <c r="Y39" s="20">
        <f>-IF(INDEX(연도별요약!$B$24:$F$24,Y6)&gt;0,INDEX(연도별요약!$B$18:$F$18,Y6)*IF(Y38&gt;0,Y38/INDEX(연도별요약!$B$24:$F$24,Y6),0),0)</f>
        <v/>
      </c>
      <c r="Z39" s="20">
        <f>-IF(INDEX(연도별요약!$B$24:$F$24,Z6)&gt;0,INDEX(연도별요약!$B$18:$F$18,Z6)*IF(Z38&gt;0,Z38/INDEX(연도별요약!$B$24:$F$24,Z6),0),0)</f>
        <v/>
      </c>
      <c r="AA39" s="20">
        <f>-IF(INDEX(연도별요약!$B$24:$F$24,AA6)&gt;0,INDEX(연도별요약!$B$18:$F$18,AA6)*IF(AA38&gt;0,AA38/INDEX(연도별요약!$B$24:$F$24,AA6),0),0)</f>
        <v/>
      </c>
      <c r="AB39" s="20">
        <f>-IF(INDEX(연도별요약!$B$24:$F$24,AB6)&gt;0,INDEX(연도별요약!$B$18:$F$18,AB6)*IF(AB38&gt;0,AB38/INDEX(연도별요약!$B$24:$F$24,AB6),0),0)</f>
        <v/>
      </c>
      <c r="AC39" s="20">
        <f>-IF(INDEX(연도별요약!$B$24:$F$24,AC6)&gt;0,INDEX(연도별요약!$B$18:$F$18,AC6)*IF(AC38&gt;0,AC38/INDEX(연도별요약!$B$24:$F$24,AC6),0),0)</f>
        <v/>
      </c>
      <c r="AD39" s="20">
        <f>-IF(INDEX(연도별요약!$B$24:$F$24,AD6)&gt;0,INDEX(연도별요약!$B$18:$F$18,AD6)*IF(AD38&gt;0,AD38/INDEX(연도별요약!$B$24:$F$24,AD6),0),0)</f>
        <v/>
      </c>
      <c r="AE39" s="20">
        <f>-IF(INDEX(연도별요약!$B$24:$F$24,AE6)&gt;0,INDEX(연도별요약!$B$18:$F$18,AE6)*IF(AE38&gt;0,AE38/INDEX(연도별요약!$B$24:$F$24,AE6),0),0)</f>
        <v/>
      </c>
      <c r="AF39" s="20">
        <f>-IF(INDEX(연도별요약!$B$24:$F$24,AF6)&gt;0,INDEX(연도별요약!$B$18:$F$18,AF6)*IF(AF38&gt;0,AF38/INDEX(연도별요약!$B$24:$F$24,AF6),0),0)</f>
        <v/>
      </c>
      <c r="AG39" s="20">
        <f>-IF(INDEX(연도별요약!$B$24:$F$24,AG6)&gt;0,INDEX(연도별요약!$B$18:$F$18,AG6)*IF(AG38&gt;0,AG38/INDEX(연도별요약!$B$24:$F$24,AG6),0),0)</f>
        <v/>
      </c>
      <c r="AH39" s="20">
        <f>-IF(INDEX(연도별요약!$B$24:$F$24,AH6)&gt;0,INDEX(연도별요약!$B$18:$F$18,AH6)*IF(AH38&gt;0,AH38/INDEX(연도별요약!$B$24:$F$24,AH6),0),0)</f>
        <v/>
      </c>
      <c r="AI39" s="20">
        <f>-IF(INDEX(연도별요약!$B$24:$F$24,AI6)&gt;0,INDEX(연도별요약!$B$18:$F$18,AI6)*IF(AI38&gt;0,AI38/INDEX(연도별요약!$B$24:$F$24,AI6),0),0)</f>
        <v/>
      </c>
      <c r="AJ39" s="20">
        <f>-IF(INDEX(연도별요약!$B$24:$F$24,AJ6)&gt;0,INDEX(연도별요약!$B$18:$F$18,AJ6)*IF(AJ38&gt;0,AJ38/INDEX(연도별요약!$B$24:$F$24,AJ6),0),0)</f>
        <v/>
      </c>
      <c r="AK39" s="20">
        <f>-IF(INDEX(연도별요약!$B$24:$F$24,AK6)&gt;0,INDEX(연도별요약!$B$18:$F$18,AK6)*IF(AK38&gt;0,AK38/INDEX(연도별요약!$B$24:$F$24,AK6),0),0)</f>
        <v/>
      </c>
      <c r="AL39" s="20">
        <f>-IF(INDEX(연도별요약!$B$24:$F$24,AL6)&gt;0,INDEX(연도별요약!$B$18:$F$18,AL6)*IF(AL38&gt;0,AL38/INDEX(연도별요약!$B$24:$F$24,AL6),0),0)</f>
        <v/>
      </c>
      <c r="AM39" s="20">
        <f>-IF(INDEX(연도별요약!$B$24:$F$24,AM6)&gt;0,INDEX(연도별요약!$B$18:$F$18,AM6)*IF(AM38&gt;0,AM38/INDEX(연도별요약!$B$24:$F$24,AM6),0),0)</f>
        <v/>
      </c>
      <c r="AN39" s="20">
        <f>-IF(INDEX(연도별요약!$B$24:$F$24,AN6)&gt;0,INDEX(연도별요약!$B$18:$F$18,AN6)*IF(AN38&gt;0,AN38/INDEX(연도별요약!$B$24:$F$24,AN6),0),0)</f>
        <v/>
      </c>
      <c r="AO39" s="20">
        <f>-IF(INDEX(연도별요약!$B$24:$F$24,AO6)&gt;0,INDEX(연도별요약!$B$18:$F$18,AO6)*IF(AO38&gt;0,AO38/INDEX(연도별요약!$B$24:$F$24,AO6),0),0)</f>
        <v/>
      </c>
      <c r="AP39" s="20">
        <f>-IF(INDEX(연도별요약!$B$24:$F$24,AP6)&gt;0,INDEX(연도별요약!$B$18:$F$18,AP6)*IF(AP38&gt;0,AP38/INDEX(연도별요약!$B$24:$F$24,AP6),0),0)</f>
        <v/>
      </c>
      <c r="AQ39" s="20">
        <f>-IF(INDEX(연도별요약!$B$24:$F$24,AQ6)&gt;0,INDEX(연도별요약!$B$18:$F$18,AQ6)*IF(AQ38&gt;0,AQ38/INDEX(연도별요약!$B$24:$F$24,AQ6),0),0)</f>
        <v/>
      </c>
      <c r="AR39" s="20">
        <f>-IF(INDEX(연도별요약!$B$24:$F$24,AR6)&gt;0,INDEX(연도별요약!$B$18:$F$18,AR6)*IF(AR38&gt;0,AR38/INDEX(연도별요약!$B$24:$F$24,AR6),0),0)</f>
        <v/>
      </c>
      <c r="AS39" s="20">
        <f>-IF(INDEX(연도별요약!$B$24:$F$24,AS6)&gt;0,INDEX(연도별요약!$B$18:$F$18,AS6)*IF(AS38&gt;0,AS38/INDEX(연도별요약!$B$24:$F$24,AS6),0),0)</f>
        <v/>
      </c>
      <c r="AT39" s="20">
        <f>-IF(INDEX(연도별요약!$B$24:$F$24,AT6)&gt;0,INDEX(연도별요약!$B$18:$F$18,AT6)*IF(AT38&gt;0,AT38/INDEX(연도별요약!$B$24:$F$24,AT6),0),0)</f>
        <v/>
      </c>
      <c r="AU39" s="20">
        <f>-IF(INDEX(연도별요약!$B$24:$F$24,AU6)&gt;0,INDEX(연도별요약!$B$18:$F$18,AU6)*IF(AU38&gt;0,AU38/INDEX(연도별요약!$B$24:$F$24,AU6),0),0)</f>
        <v/>
      </c>
      <c r="AV39" s="20">
        <f>-IF(INDEX(연도별요약!$B$24:$F$24,AV6)&gt;0,INDEX(연도별요약!$B$18:$F$18,AV6)*IF(AV38&gt;0,AV38/INDEX(연도별요약!$B$24:$F$24,AV6),0),0)</f>
        <v/>
      </c>
      <c r="AW39" s="20">
        <f>-IF(INDEX(연도별요약!$B$24:$F$24,AW6)&gt;0,INDEX(연도별요약!$B$18:$F$18,AW6)*IF(AW38&gt;0,AW38/INDEX(연도별요약!$B$24:$F$24,AW6),0),0)</f>
        <v/>
      </c>
      <c r="AX39" s="20">
        <f>-IF(INDEX(연도별요약!$B$24:$F$24,AX6)&gt;0,INDEX(연도별요약!$B$18:$F$18,AX6)*IF(AX38&gt;0,AX38/INDEX(연도별요약!$B$24:$F$24,AX6),0),0)</f>
        <v/>
      </c>
      <c r="AY39" s="20">
        <f>-IF(INDEX(연도별요약!$B$24:$F$24,AY6)&gt;0,INDEX(연도별요약!$B$18:$F$18,AY6)*IF(AY38&gt;0,AY38/INDEX(연도별요약!$B$24:$F$24,AY6),0),0)</f>
        <v/>
      </c>
      <c r="AZ39" s="20">
        <f>-IF(INDEX(연도별요약!$B$24:$F$24,AZ6)&gt;0,INDEX(연도별요약!$B$18:$F$18,AZ6)*IF(AZ38&gt;0,AZ38/INDEX(연도별요약!$B$24:$F$24,AZ6),0),0)</f>
        <v/>
      </c>
      <c r="BA39" s="20">
        <f>-IF(INDEX(연도별요약!$B$24:$F$24,BA6)&gt;0,INDEX(연도별요약!$B$18:$F$18,BA6)*IF(BA38&gt;0,BA38/INDEX(연도별요약!$B$24:$F$24,BA6),0),0)</f>
        <v/>
      </c>
      <c r="BB39" s="20">
        <f>-IF(INDEX(연도별요약!$B$24:$F$24,BB6)&gt;0,INDEX(연도별요약!$B$18:$F$18,BB6)*IF(BB38&gt;0,BB38/INDEX(연도별요약!$B$24:$F$24,BB6),0),0)</f>
        <v/>
      </c>
      <c r="BC39" s="20">
        <f>-IF(INDEX(연도별요약!$B$24:$F$24,BC6)&gt;0,INDEX(연도별요약!$B$18:$F$18,BC6)*IF(BC38&gt;0,BC38/INDEX(연도별요약!$B$24:$F$24,BC6),0),0)</f>
        <v/>
      </c>
      <c r="BD39" s="20">
        <f>-IF(INDEX(연도별요약!$B$24:$F$24,BD6)&gt;0,INDEX(연도별요약!$B$18:$F$18,BD6)*IF(BD38&gt;0,BD38/INDEX(연도별요약!$B$24:$F$24,BD6),0),0)</f>
        <v/>
      </c>
      <c r="BE39" s="20">
        <f>-IF(INDEX(연도별요약!$B$24:$F$24,BE6)&gt;0,INDEX(연도별요약!$B$18:$F$18,BE6)*IF(BE38&gt;0,BE38/INDEX(연도별요약!$B$24:$F$24,BE6),0),0)</f>
        <v/>
      </c>
      <c r="BF39" s="20">
        <f>-IF(INDEX(연도별요약!$B$24:$F$24,BF6)&gt;0,INDEX(연도별요약!$B$18:$F$18,BF6)*IF(BF38&gt;0,BF38/INDEX(연도별요약!$B$24:$F$24,BF6),0),0)</f>
        <v/>
      </c>
      <c r="BG39" s="20">
        <f>-IF(INDEX(연도별요약!$B$24:$F$24,BG6)&gt;0,INDEX(연도별요약!$B$18:$F$18,BG6)*IF(BG38&gt;0,BG38/INDEX(연도별요약!$B$24:$F$24,BG6),0),0)</f>
        <v/>
      </c>
      <c r="BH39" s="20">
        <f>-IF(INDEX(연도별요약!$B$24:$F$24,BH6)&gt;0,INDEX(연도별요약!$B$18:$F$18,BH6)*IF(BH38&gt;0,BH38/INDEX(연도별요약!$B$24:$F$24,BH6),0),0)</f>
        <v/>
      </c>
      <c r="BI39" s="20">
        <f>-IF(INDEX(연도별요약!$B$24:$F$24,BI6)&gt;0,INDEX(연도별요약!$B$18:$F$18,BI6)*IF(BI38&gt;0,BI38/INDEX(연도별요약!$B$24:$F$24,BI6),0),0)</f>
        <v/>
      </c>
      <c r="BJ39" s="20">
        <f>-IF(INDEX(연도별요약!$B$24:$F$24,BJ6)&gt;0,INDEX(연도별요약!$B$18:$F$18,BJ6)*IF(BJ38&gt;0,BJ38/INDEX(연도별요약!$B$24:$F$24,BJ6),0),0)</f>
        <v/>
      </c>
    </row>
    <row r="40">
      <c r="A40" s="25" t="inlineStr">
        <is>
          <t>(−) 투자자 지분 6% (연간 배분)</t>
        </is>
      </c>
      <c r="C40" s="20">
        <f>-IF(INDEX(연도별요약!$B$24:$F$24,C6)&gt;0,INDEX(연도별요약!$B$21:$F$21,C6)*IF(C38&gt;0,C38/INDEX(연도별요약!$B$24:$F$24,C6),0),0)</f>
        <v/>
      </c>
      <c r="D40" s="20">
        <f>-IF(INDEX(연도별요약!$B$24:$F$24,D6)&gt;0,INDEX(연도별요약!$B$21:$F$21,D6)*IF(D38&gt;0,D38/INDEX(연도별요약!$B$24:$F$24,D6),0),0)</f>
        <v/>
      </c>
      <c r="E40" s="20">
        <f>-IF(INDEX(연도별요약!$B$24:$F$24,E6)&gt;0,INDEX(연도별요약!$B$21:$F$21,E6)*IF(E38&gt;0,E38/INDEX(연도별요약!$B$24:$F$24,E6),0),0)</f>
        <v/>
      </c>
      <c r="F40" s="20">
        <f>-IF(INDEX(연도별요약!$B$24:$F$24,F6)&gt;0,INDEX(연도별요약!$B$21:$F$21,F6)*IF(F38&gt;0,F38/INDEX(연도별요약!$B$24:$F$24,F6),0),0)</f>
        <v/>
      </c>
      <c r="G40" s="20">
        <f>-IF(INDEX(연도별요약!$B$24:$F$24,G6)&gt;0,INDEX(연도별요약!$B$21:$F$21,G6)*IF(G38&gt;0,G38/INDEX(연도별요약!$B$24:$F$24,G6),0),0)</f>
        <v/>
      </c>
      <c r="H40" s="20">
        <f>-IF(INDEX(연도별요약!$B$24:$F$24,H6)&gt;0,INDEX(연도별요약!$B$21:$F$21,H6)*IF(H38&gt;0,H38/INDEX(연도별요약!$B$24:$F$24,H6),0),0)</f>
        <v/>
      </c>
      <c r="I40" s="20">
        <f>-IF(INDEX(연도별요약!$B$24:$F$24,I6)&gt;0,INDEX(연도별요약!$B$21:$F$21,I6)*IF(I38&gt;0,I38/INDEX(연도별요약!$B$24:$F$24,I6),0),0)</f>
        <v/>
      </c>
      <c r="J40" s="20">
        <f>-IF(INDEX(연도별요약!$B$24:$F$24,J6)&gt;0,INDEX(연도별요약!$B$21:$F$21,J6)*IF(J38&gt;0,J38/INDEX(연도별요약!$B$24:$F$24,J6),0),0)</f>
        <v/>
      </c>
      <c r="K40" s="20">
        <f>-IF(INDEX(연도별요약!$B$24:$F$24,K6)&gt;0,INDEX(연도별요약!$B$21:$F$21,K6)*IF(K38&gt;0,K38/INDEX(연도별요약!$B$24:$F$24,K6),0),0)</f>
        <v/>
      </c>
      <c r="L40" s="20">
        <f>-IF(INDEX(연도별요약!$B$24:$F$24,L6)&gt;0,INDEX(연도별요약!$B$21:$F$21,L6)*IF(L38&gt;0,L38/INDEX(연도별요약!$B$24:$F$24,L6),0),0)</f>
        <v/>
      </c>
      <c r="M40" s="20">
        <f>-IF(INDEX(연도별요약!$B$24:$F$24,M6)&gt;0,INDEX(연도별요약!$B$21:$F$21,M6)*IF(M38&gt;0,M38/INDEX(연도별요약!$B$24:$F$24,M6),0),0)</f>
        <v/>
      </c>
      <c r="N40" s="20">
        <f>-IF(INDEX(연도별요약!$B$24:$F$24,N6)&gt;0,INDEX(연도별요약!$B$21:$F$21,N6)*IF(N38&gt;0,N38/INDEX(연도별요약!$B$24:$F$24,N6),0),0)</f>
        <v/>
      </c>
      <c r="O40" s="20">
        <f>-IF(INDEX(연도별요약!$B$24:$F$24,O6)&gt;0,INDEX(연도별요약!$B$21:$F$21,O6)*IF(O38&gt;0,O38/INDEX(연도별요약!$B$24:$F$24,O6),0),0)</f>
        <v/>
      </c>
      <c r="P40" s="20">
        <f>-IF(INDEX(연도별요약!$B$24:$F$24,P6)&gt;0,INDEX(연도별요약!$B$21:$F$21,P6)*IF(P38&gt;0,P38/INDEX(연도별요약!$B$24:$F$24,P6),0),0)</f>
        <v/>
      </c>
      <c r="Q40" s="20">
        <f>-IF(INDEX(연도별요약!$B$24:$F$24,Q6)&gt;0,INDEX(연도별요약!$B$21:$F$21,Q6)*IF(Q38&gt;0,Q38/INDEX(연도별요약!$B$24:$F$24,Q6),0),0)</f>
        <v/>
      </c>
      <c r="R40" s="20">
        <f>-IF(INDEX(연도별요약!$B$24:$F$24,R6)&gt;0,INDEX(연도별요약!$B$21:$F$21,R6)*IF(R38&gt;0,R38/INDEX(연도별요약!$B$24:$F$24,R6),0),0)</f>
        <v/>
      </c>
      <c r="S40" s="20">
        <f>-IF(INDEX(연도별요약!$B$24:$F$24,S6)&gt;0,INDEX(연도별요약!$B$21:$F$21,S6)*IF(S38&gt;0,S38/INDEX(연도별요약!$B$24:$F$24,S6),0),0)</f>
        <v/>
      </c>
      <c r="T40" s="20">
        <f>-IF(INDEX(연도별요약!$B$24:$F$24,T6)&gt;0,INDEX(연도별요약!$B$21:$F$21,T6)*IF(T38&gt;0,T38/INDEX(연도별요약!$B$24:$F$24,T6),0),0)</f>
        <v/>
      </c>
      <c r="U40" s="20">
        <f>-IF(INDEX(연도별요약!$B$24:$F$24,U6)&gt;0,INDEX(연도별요약!$B$21:$F$21,U6)*IF(U38&gt;0,U38/INDEX(연도별요약!$B$24:$F$24,U6),0),0)</f>
        <v/>
      </c>
      <c r="V40" s="20">
        <f>-IF(INDEX(연도별요약!$B$24:$F$24,V6)&gt;0,INDEX(연도별요약!$B$21:$F$21,V6)*IF(V38&gt;0,V38/INDEX(연도별요약!$B$24:$F$24,V6),0),0)</f>
        <v/>
      </c>
      <c r="W40" s="20">
        <f>-IF(INDEX(연도별요약!$B$24:$F$24,W6)&gt;0,INDEX(연도별요약!$B$21:$F$21,W6)*IF(W38&gt;0,W38/INDEX(연도별요약!$B$24:$F$24,W6),0),0)</f>
        <v/>
      </c>
      <c r="X40" s="20">
        <f>-IF(INDEX(연도별요약!$B$24:$F$24,X6)&gt;0,INDEX(연도별요약!$B$21:$F$21,X6)*IF(X38&gt;0,X38/INDEX(연도별요약!$B$24:$F$24,X6),0),0)</f>
        <v/>
      </c>
      <c r="Y40" s="20">
        <f>-IF(INDEX(연도별요약!$B$24:$F$24,Y6)&gt;0,INDEX(연도별요약!$B$21:$F$21,Y6)*IF(Y38&gt;0,Y38/INDEX(연도별요약!$B$24:$F$24,Y6),0),0)</f>
        <v/>
      </c>
      <c r="Z40" s="20">
        <f>-IF(INDEX(연도별요약!$B$24:$F$24,Z6)&gt;0,INDEX(연도별요약!$B$21:$F$21,Z6)*IF(Z38&gt;0,Z38/INDEX(연도별요약!$B$24:$F$24,Z6),0),0)</f>
        <v/>
      </c>
      <c r="AA40" s="20">
        <f>-IF(INDEX(연도별요약!$B$24:$F$24,AA6)&gt;0,INDEX(연도별요약!$B$21:$F$21,AA6)*IF(AA38&gt;0,AA38/INDEX(연도별요약!$B$24:$F$24,AA6),0),0)</f>
        <v/>
      </c>
      <c r="AB40" s="20">
        <f>-IF(INDEX(연도별요약!$B$24:$F$24,AB6)&gt;0,INDEX(연도별요약!$B$21:$F$21,AB6)*IF(AB38&gt;0,AB38/INDEX(연도별요약!$B$24:$F$24,AB6),0),0)</f>
        <v/>
      </c>
      <c r="AC40" s="20">
        <f>-IF(INDEX(연도별요약!$B$24:$F$24,AC6)&gt;0,INDEX(연도별요약!$B$21:$F$21,AC6)*IF(AC38&gt;0,AC38/INDEX(연도별요약!$B$24:$F$24,AC6),0),0)</f>
        <v/>
      </c>
      <c r="AD40" s="20">
        <f>-IF(INDEX(연도별요약!$B$24:$F$24,AD6)&gt;0,INDEX(연도별요약!$B$21:$F$21,AD6)*IF(AD38&gt;0,AD38/INDEX(연도별요약!$B$24:$F$24,AD6),0),0)</f>
        <v/>
      </c>
      <c r="AE40" s="20">
        <f>-IF(INDEX(연도별요약!$B$24:$F$24,AE6)&gt;0,INDEX(연도별요약!$B$21:$F$21,AE6)*IF(AE38&gt;0,AE38/INDEX(연도별요약!$B$24:$F$24,AE6),0),0)</f>
        <v/>
      </c>
      <c r="AF40" s="20">
        <f>-IF(INDEX(연도별요약!$B$24:$F$24,AF6)&gt;0,INDEX(연도별요약!$B$21:$F$21,AF6)*IF(AF38&gt;0,AF38/INDEX(연도별요약!$B$24:$F$24,AF6),0),0)</f>
        <v/>
      </c>
      <c r="AG40" s="20">
        <f>-IF(INDEX(연도별요약!$B$24:$F$24,AG6)&gt;0,INDEX(연도별요약!$B$21:$F$21,AG6)*IF(AG38&gt;0,AG38/INDEX(연도별요약!$B$24:$F$24,AG6),0),0)</f>
        <v/>
      </c>
      <c r="AH40" s="20">
        <f>-IF(INDEX(연도별요약!$B$24:$F$24,AH6)&gt;0,INDEX(연도별요약!$B$21:$F$21,AH6)*IF(AH38&gt;0,AH38/INDEX(연도별요약!$B$24:$F$24,AH6),0),0)</f>
        <v/>
      </c>
      <c r="AI40" s="20">
        <f>-IF(INDEX(연도별요약!$B$24:$F$24,AI6)&gt;0,INDEX(연도별요약!$B$21:$F$21,AI6)*IF(AI38&gt;0,AI38/INDEX(연도별요약!$B$24:$F$24,AI6),0),0)</f>
        <v/>
      </c>
      <c r="AJ40" s="20">
        <f>-IF(INDEX(연도별요약!$B$24:$F$24,AJ6)&gt;0,INDEX(연도별요약!$B$21:$F$21,AJ6)*IF(AJ38&gt;0,AJ38/INDEX(연도별요약!$B$24:$F$24,AJ6),0),0)</f>
        <v/>
      </c>
      <c r="AK40" s="20">
        <f>-IF(INDEX(연도별요약!$B$24:$F$24,AK6)&gt;0,INDEX(연도별요약!$B$21:$F$21,AK6)*IF(AK38&gt;0,AK38/INDEX(연도별요약!$B$24:$F$24,AK6),0),0)</f>
        <v/>
      </c>
      <c r="AL40" s="20">
        <f>-IF(INDEX(연도별요약!$B$24:$F$24,AL6)&gt;0,INDEX(연도별요약!$B$21:$F$21,AL6)*IF(AL38&gt;0,AL38/INDEX(연도별요약!$B$24:$F$24,AL6),0),0)</f>
        <v/>
      </c>
      <c r="AM40" s="20">
        <f>-IF(INDEX(연도별요약!$B$24:$F$24,AM6)&gt;0,INDEX(연도별요약!$B$21:$F$21,AM6)*IF(AM38&gt;0,AM38/INDEX(연도별요약!$B$24:$F$24,AM6),0),0)</f>
        <v/>
      </c>
      <c r="AN40" s="20">
        <f>-IF(INDEX(연도별요약!$B$24:$F$24,AN6)&gt;0,INDEX(연도별요약!$B$21:$F$21,AN6)*IF(AN38&gt;0,AN38/INDEX(연도별요약!$B$24:$F$24,AN6),0),0)</f>
        <v/>
      </c>
      <c r="AO40" s="20">
        <f>-IF(INDEX(연도별요약!$B$24:$F$24,AO6)&gt;0,INDEX(연도별요약!$B$21:$F$21,AO6)*IF(AO38&gt;0,AO38/INDEX(연도별요약!$B$24:$F$24,AO6),0),0)</f>
        <v/>
      </c>
      <c r="AP40" s="20">
        <f>-IF(INDEX(연도별요약!$B$24:$F$24,AP6)&gt;0,INDEX(연도별요약!$B$21:$F$21,AP6)*IF(AP38&gt;0,AP38/INDEX(연도별요약!$B$24:$F$24,AP6),0),0)</f>
        <v/>
      </c>
      <c r="AQ40" s="20">
        <f>-IF(INDEX(연도별요약!$B$24:$F$24,AQ6)&gt;0,INDEX(연도별요약!$B$21:$F$21,AQ6)*IF(AQ38&gt;0,AQ38/INDEX(연도별요약!$B$24:$F$24,AQ6),0),0)</f>
        <v/>
      </c>
      <c r="AR40" s="20">
        <f>-IF(INDEX(연도별요약!$B$24:$F$24,AR6)&gt;0,INDEX(연도별요약!$B$21:$F$21,AR6)*IF(AR38&gt;0,AR38/INDEX(연도별요약!$B$24:$F$24,AR6),0),0)</f>
        <v/>
      </c>
      <c r="AS40" s="20">
        <f>-IF(INDEX(연도별요약!$B$24:$F$24,AS6)&gt;0,INDEX(연도별요약!$B$21:$F$21,AS6)*IF(AS38&gt;0,AS38/INDEX(연도별요약!$B$24:$F$24,AS6),0),0)</f>
        <v/>
      </c>
      <c r="AT40" s="20">
        <f>-IF(INDEX(연도별요약!$B$24:$F$24,AT6)&gt;0,INDEX(연도별요약!$B$21:$F$21,AT6)*IF(AT38&gt;0,AT38/INDEX(연도별요약!$B$24:$F$24,AT6),0),0)</f>
        <v/>
      </c>
      <c r="AU40" s="20">
        <f>-IF(INDEX(연도별요약!$B$24:$F$24,AU6)&gt;0,INDEX(연도별요약!$B$21:$F$21,AU6)*IF(AU38&gt;0,AU38/INDEX(연도별요약!$B$24:$F$24,AU6),0),0)</f>
        <v/>
      </c>
      <c r="AV40" s="20">
        <f>-IF(INDEX(연도별요약!$B$24:$F$24,AV6)&gt;0,INDEX(연도별요약!$B$21:$F$21,AV6)*IF(AV38&gt;0,AV38/INDEX(연도별요약!$B$24:$F$24,AV6),0),0)</f>
        <v/>
      </c>
      <c r="AW40" s="20">
        <f>-IF(INDEX(연도별요약!$B$24:$F$24,AW6)&gt;0,INDEX(연도별요약!$B$21:$F$21,AW6)*IF(AW38&gt;0,AW38/INDEX(연도별요약!$B$24:$F$24,AW6),0),0)</f>
        <v/>
      </c>
      <c r="AX40" s="20">
        <f>-IF(INDEX(연도별요약!$B$24:$F$24,AX6)&gt;0,INDEX(연도별요약!$B$21:$F$21,AX6)*IF(AX38&gt;0,AX38/INDEX(연도별요약!$B$24:$F$24,AX6),0),0)</f>
        <v/>
      </c>
      <c r="AY40" s="20">
        <f>-IF(INDEX(연도별요약!$B$24:$F$24,AY6)&gt;0,INDEX(연도별요약!$B$21:$F$21,AY6)*IF(AY38&gt;0,AY38/INDEX(연도별요약!$B$24:$F$24,AY6),0),0)</f>
        <v/>
      </c>
      <c r="AZ40" s="20">
        <f>-IF(INDEX(연도별요약!$B$24:$F$24,AZ6)&gt;0,INDEX(연도별요약!$B$21:$F$21,AZ6)*IF(AZ38&gt;0,AZ38/INDEX(연도별요약!$B$24:$F$24,AZ6),0),0)</f>
        <v/>
      </c>
      <c r="BA40" s="20">
        <f>-IF(INDEX(연도별요약!$B$24:$F$24,BA6)&gt;0,INDEX(연도별요약!$B$21:$F$21,BA6)*IF(BA38&gt;0,BA38/INDEX(연도별요약!$B$24:$F$24,BA6),0),0)</f>
        <v/>
      </c>
      <c r="BB40" s="20">
        <f>-IF(INDEX(연도별요약!$B$24:$F$24,BB6)&gt;0,INDEX(연도별요약!$B$21:$F$21,BB6)*IF(BB38&gt;0,BB38/INDEX(연도별요약!$B$24:$F$24,BB6),0),0)</f>
        <v/>
      </c>
      <c r="BC40" s="20">
        <f>-IF(INDEX(연도별요약!$B$24:$F$24,BC6)&gt;0,INDEX(연도별요약!$B$21:$F$21,BC6)*IF(BC38&gt;0,BC38/INDEX(연도별요약!$B$24:$F$24,BC6),0),0)</f>
        <v/>
      </c>
      <c r="BD40" s="20">
        <f>-IF(INDEX(연도별요약!$B$24:$F$24,BD6)&gt;0,INDEX(연도별요약!$B$21:$F$21,BD6)*IF(BD38&gt;0,BD38/INDEX(연도별요약!$B$24:$F$24,BD6),0),0)</f>
        <v/>
      </c>
      <c r="BE40" s="20">
        <f>-IF(INDEX(연도별요약!$B$24:$F$24,BE6)&gt;0,INDEX(연도별요약!$B$21:$F$21,BE6)*IF(BE38&gt;0,BE38/INDEX(연도별요약!$B$24:$F$24,BE6),0),0)</f>
        <v/>
      </c>
      <c r="BF40" s="20">
        <f>-IF(INDEX(연도별요약!$B$24:$F$24,BF6)&gt;0,INDEX(연도별요약!$B$21:$F$21,BF6)*IF(BF38&gt;0,BF38/INDEX(연도별요약!$B$24:$F$24,BF6),0),0)</f>
        <v/>
      </c>
      <c r="BG40" s="20">
        <f>-IF(INDEX(연도별요약!$B$24:$F$24,BG6)&gt;0,INDEX(연도별요약!$B$21:$F$21,BG6)*IF(BG38&gt;0,BG38/INDEX(연도별요약!$B$24:$F$24,BG6),0),0)</f>
        <v/>
      </c>
      <c r="BH40" s="20">
        <f>-IF(INDEX(연도별요약!$B$24:$F$24,BH6)&gt;0,INDEX(연도별요약!$B$21:$F$21,BH6)*IF(BH38&gt;0,BH38/INDEX(연도별요약!$B$24:$F$24,BH6),0),0)</f>
        <v/>
      </c>
      <c r="BI40" s="20">
        <f>-IF(INDEX(연도별요약!$B$24:$F$24,BI6)&gt;0,INDEX(연도별요약!$B$21:$F$21,BI6)*IF(BI38&gt;0,BI38/INDEX(연도별요약!$B$24:$F$24,BI6),0),0)</f>
        <v/>
      </c>
      <c r="BJ40" s="20">
        <f>-IF(INDEX(연도별요약!$B$24:$F$24,BJ6)&gt;0,INDEX(연도별요약!$B$21:$F$21,BJ6)*IF(BJ38&gt;0,BJ38/INDEX(연도별요약!$B$24:$F$24,BJ6),0),0)</f>
        <v/>
      </c>
    </row>
    <row r="41">
      <c r="A41" s="8" t="inlineStr">
        <is>
          <t>→ 순이익</t>
        </is>
      </c>
      <c r="C41" s="45">
        <f>C38+C39+C40</f>
        <v/>
      </c>
      <c r="D41" s="45">
        <f>D38+D39+D40</f>
        <v/>
      </c>
      <c r="E41" s="45">
        <f>E38+E39+E40</f>
        <v/>
      </c>
      <c r="F41" s="45">
        <f>F38+F39+F40</f>
        <v/>
      </c>
      <c r="G41" s="45">
        <f>G38+G39+G40</f>
        <v/>
      </c>
      <c r="H41" s="45">
        <f>H38+H39+H40</f>
        <v/>
      </c>
      <c r="I41" s="45">
        <f>I38+I39+I40</f>
        <v/>
      </c>
      <c r="J41" s="45">
        <f>J38+J39+J40</f>
        <v/>
      </c>
      <c r="K41" s="45">
        <f>K38+K39+K40</f>
        <v/>
      </c>
      <c r="L41" s="45">
        <f>L38+L39+L40</f>
        <v/>
      </c>
      <c r="M41" s="45">
        <f>M38+M39+M40</f>
        <v/>
      </c>
      <c r="N41" s="45">
        <f>N38+N39+N40</f>
        <v/>
      </c>
      <c r="O41" s="45">
        <f>O38+O39+O40</f>
        <v/>
      </c>
      <c r="P41" s="45">
        <f>P38+P39+P40</f>
        <v/>
      </c>
      <c r="Q41" s="45">
        <f>Q38+Q39+Q40</f>
        <v/>
      </c>
      <c r="R41" s="45">
        <f>R38+R39+R40</f>
        <v/>
      </c>
      <c r="S41" s="45">
        <f>S38+S39+S40</f>
        <v/>
      </c>
      <c r="T41" s="45">
        <f>T38+T39+T40</f>
        <v/>
      </c>
      <c r="U41" s="45">
        <f>U38+U39+U40</f>
        <v/>
      </c>
      <c r="V41" s="45">
        <f>V38+V39+V40</f>
        <v/>
      </c>
      <c r="W41" s="45">
        <f>W38+W39+W40</f>
        <v/>
      </c>
      <c r="X41" s="45">
        <f>X38+X39+X40</f>
        <v/>
      </c>
      <c r="Y41" s="45">
        <f>Y38+Y39+Y40</f>
        <v/>
      </c>
      <c r="Z41" s="45">
        <f>Z38+Z39+Z40</f>
        <v/>
      </c>
      <c r="AA41" s="45">
        <f>AA38+AA39+AA40</f>
        <v/>
      </c>
      <c r="AB41" s="45">
        <f>AB38+AB39+AB40</f>
        <v/>
      </c>
      <c r="AC41" s="45">
        <f>AC38+AC39+AC40</f>
        <v/>
      </c>
      <c r="AD41" s="45">
        <f>AD38+AD39+AD40</f>
        <v/>
      </c>
      <c r="AE41" s="45">
        <f>AE38+AE39+AE40</f>
        <v/>
      </c>
      <c r="AF41" s="45">
        <f>AF38+AF39+AF40</f>
        <v/>
      </c>
      <c r="AG41" s="45">
        <f>AG38+AG39+AG40</f>
        <v/>
      </c>
      <c r="AH41" s="45">
        <f>AH38+AH39+AH40</f>
        <v/>
      </c>
      <c r="AI41" s="45">
        <f>AI38+AI39+AI40</f>
        <v/>
      </c>
      <c r="AJ41" s="45">
        <f>AJ38+AJ39+AJ40</f>
        <v/>
      </c>
      <c r="AK41" s="45">
        <f>AK38+AK39+AK40</f>
        <v/>
      </c>
      <c r="AL41" s="45">
        <f>AL38+AL39+AL40</f>
        <v/>
      </c>
      <c r="AM41" s="45">
        <f>AM38+AM39+AM40</f>
        <v/>
      </c>
      <c r="AN41" s="45">
        <f>AN38+AN39+AN40</f>
        <v/>
      </c>
      <c r="AO41" s="45">
        <f>AO38+AO39+AO40</f>
        <v/>
      </c>
      <c r="AP41" s="45">
        <f>AP38+AP39+AP40</f>
        <v/>
      </c>
      <c r="AQ41" s="45">
        <f>AQ38+AQ39+AQ40</f>
        <v/>
      </c>
      <c r="AR41" s="45">
        <f>AR38+AR39+AR40</f>
        <v/>
      </c>
      <c r="AS41" s="45">
        <f>AS38+AS39+AS40</f>
        <v/>
      </c>
      <c r="AT41" s="45">
        <f>AT38+AT39+AT40</f>
        <v/>
      </c>
      <c r="AU41" s="45">
        <f>AU38+AU39+AU40</f>
        <v/>
      </c>
      <c r="AV41" s="45">
        <f>AV38+AV39+AV40</f>
        <v/>
      </c>
      <c r="AW41" s="45">
        <f>AW38+AW39+AW40</f>
        <v/>
      </c>
      <c r="AX41" s="45">
        <f>AX38+AX39+AX40</f>
        <v/>
      </c>
      <c r="AY41" s="45">
        <f>AY38+AY39+AY40</f>
        <v/>
      </c>
      <c r="AZ41" s="45">
        <f>AZ38+AZ39+AZ40</f>
        <v/>
      </c>
      <c r="BA41" s="45">
        <f>BA38+BA39+BA40</f>
        <v/>
      </c>
      <c r="BB41" s="45">
        <f>BB38+BB39+BB40</f>
        <v/>
      </c>
      <c r="BC41" s="45">
        <f>BC38+BC39+BC40</f>
        <v/>
      </c>
      <c r="BD41" s="45">
        <f>BD38+BD39+BD40</f>
        <v/>
      </c>
      <c r="BE41" s="45">
        <f>BE38+BE39+BE40</f>
        <v/>
      </c>
      <c r="BF41" s="45">
        <f>BF38+BF39+BF40</f>
        <v/>
      </c>
      <c r="BG41" s="45">
        <f>BG38+BG39+BG40</f>
        <v/>
      </c>
      <c r="BH41" s="45">
        <f>BH38+BH39+BH40</f>
        <v/>
      </c>
      <c r="BI41" s="45">
        <f>BI38+BI39+BI40</f>
        <v/>
      </c>
      <c r="BJ41" s="45">
        <f>BJ38+BJ39+BJ40</f>
        <v/>
      </c>
    </row>
    <row r="42">
      <c r="A42" s="25" t="inlineStr">
        <is>
          <t>누적 순이익</t>
        </is>
      </c>
      <c r="C42" s="20">
        <f>C41</f>
        <v/>
      </c>
      <c r="D42" s="20">
        <f>C42+D41</f>
        <v/>
      </c>
      <c r="E42" s="20">
        <f>D42+E41</f>
        <v/>
      </c>
      <c r="F42" s="20">
        <f>E42+F41</f>
        <v/>
      </c>
      <c r="G42" s="20">
        <f>F42+G41</f>
        <v/>
      </c>
      <c r="H42" s="20">
        <f>G42+H41</f>
        <v/>
      </c>
      <c r="I42" s="20">
        <f>H42+I41</f>
        <v/>
      </c>
      <c r="J42" s="20">
        <f>I42+J41</f>
        <v/>
      </c>
      <c r="K42" s="20">
        <f>J42+K41</f>
        <v/>
      </c>
      <c r="L42" s="20">
        <f>K42+L41</f>
        <v/>
      </c>
      <c r="M42" s="20">
        <f>L42+M41</f>
        <v/>
      </c>
      <c r="N42" s="20">
        <f>M42+N41</f>
        <v/>
      </c>
      <c r="O42" s="20">
        <f>N42+O41</f>
        <v/>
      </c>
      <c r="P42" s="20">
        <f>O42+P41</f>
        <v/>
      </c>
      <c r="Q42" s="20">
        <f>P42+Q41</f>
        <v/>
      </c>
      <c r="R42" s="20">
        <f>Q42+R41</f>
        <v/>
      </c>
      <c r="S42" s="20">
        <f>R42+S41</f>
        <v/>
      </c>
      <c r="T42" s="20">
        <f>S42+T41</f>
        <v/>
      </c>
      <c r="U42" s="20">
        <f>T42+U41</f>
        <v/>
      </c>
      <c r="V42" s="20">
        <f>U42+V41</f>
        <v/>
      </c>
      <c r="W42" s="20">
        <f>V42+W41</f>
        <v/>
      </c>
      <c r="X42" s="20">
        <f>W42+X41</f>
        <v/>
      </c>
      <c r="Y42" s="20">
        <f>X42+Y41</f>
        <v/>
      </c>
      <c r="Z42" s="20">
        <f>Y42+Z41</f>
        <v/>
      </c>
      <c r="AA42" s="20">
        <f>Z42+AA41</f>
        <v/>
      </c>
      <c r="AB42" s="20">
        <f>AA42+AB41</f>
        <v/>
      </c>
      <c r="AC42" s="20">
        <f>AB42+AC41</f>
        <v/>
      </c>
      <c r="AD42" s="20">
        <f>AC42+AD41</f>
        <v/>
      </c>
      <c r="AE42" s="20">
        <f>AD42+AE41</f>
        <v/>
      </c>
      <c r="AF42" s="20">
        <f>AE42+AF41</f>
        <v/>
      </c>
      <c r="AG42" s="20">
        <f>AF42+AG41</f>
        <v/>
      </c>
      <c r="AH42" s="20">
        <f>AG42+AH41</f>
        <v/>
      </c>
      <c r="AI42" s="20">
        <f>AH42+AI41</f>
        <v/>
      </c>
      <c r="AJ42" s="20">
        <f>AI42+AJ41</f>
        <v/>
      </c>
      <c r="AK42" s="20">
        <f>AJ42+AK41</f>
        <v/>
      </c>
      <c r="AL42" s="20">
        <f>AK42+AL41</f>
        <v/>
      </c>
      <c r="AM42" s="20">
        <f>AL42+AM41</f>
        <v/>
      </c>
      <c r="AN42" s="20">
        <f>AM42+AN41</f>
        <v/>
      </c>
      <c r="AO42" s="20">
        <f>AN42+AO41</f>
        <v/>
      </c>
      <c r="AP42" s="20">
        <f>AO42+AP41</f>
        <v/>
      </c>
      <c r="AQ42" s="20">
        <f>AP42+AQ41</f>
        <v/>
      </c>
      <c r="AR42" s="20">
        <f>AQ42+AR41</f>
        <v/>
      </c>
      <c r="AS42" s="20">
        <f>AR42+AS41</f>
        <v/>
      </c>
      <c r="AT42" s="20">
        <f>AS42+AT41</f>
        <v/>
      </c>
      <c r="AU42" s="20">
        <f>AT42+AU41</f>
        <v/>
      </c>
      <c r="AV42" s="20">
        <f>AU42+AV41</f>
        <v/>
      </c>
      <c r="AW42" s="20">
        <f>AV42+AW41</f>
        <v/>
      </c>
      <c r="AX42" s="20">
        <f>AW42+AX41</f>
        <v/>
      </c>
      <c r="AY42" s="20">
        <f>AX42+AY41</f>
        <v/>
      </c>
      <c r="AZ42" s="20">
        <f>AY42+AZ41</f>
        <v/>
      </c>
      <c r="BA42" s="20">
        <f>AZ42+BA41</f>
        <v/>
      </c>
      <c r="BB42" s="20">
        <f>BA42+BB41</f>
        <v/>
      </c>
      <c r="BC42" s="20">
        <f>BB42+BC41</f>
        <v/>
      </c>
      <c r="BD42" s="20">
        <f>BC42+BD41</f>
        <v/>
      </c>
      <c r="BE42" s="20">
        <f>BD42+BE41</f>
        <v/>
      </c>
      <c r="BF42" s="20">
        <f>BE42+BF41</f>
        <v/>
      </c>
      <c r="BG42" s="20">
        <f>BF42+BG41</f>
        <v/>
      </c>
      <c r="BH42" s="20">
        <f>BG42+BH41</f>
        <v/>
      </c>
      <c r="BI42" s="20">
        <f>BH42+BI41</f>
        <v/>
      </c>
      <c r="BJ42" s="20">
        <f>BI42+BJ41</f>
        <v/>
      </c>
    </row>
    <row r="43">
      <c r="A43" s="25" t="inlineStr">
        <is>
          <t>보증금 (현금만 유출, 비용 아님)</t>
        </is>
      </c>
      <c r="C43" s="20">
        <f>IF(C4=1,-입력값!$B$34,0)</f>
        <v/>
      </c>
      <c r="D43" s="20">
        <f>IF(D4=1,-입력값!$B$34,0)</f>
        <v/>
      </c>
      <c r="E43" s="20">
        <f>IF(E4=1,-입력값!$B$34,0)</f>
        <v/>
      </c>
      <c r="F43" s="20">
        <f>IF(F4=1,-입력값!$B$34,0)</f>
        <v/>
      </c>
      <c r="G43" s="20">
        <f>IF(G4=1,-입력값!$B$34,0)</f>
        <v/>
      </c>
      <c r="H43" s="20">
        <f>IF(H4=1,-입력값!$B$34,0)</f>
        <v/>
      </c>
      <c r="I43" s="20">
        <f>IF(I4=1,-입력값!$B$34,0)</f>
        <v/>
      </c>
      <c r="J43" s="20">
        <f>IF(J4=1,-입력값!$B$34,0)</f>
        <v/>
      </c>
      <c r="K43" s="20">
        <f>IF(K4=1,-입력값!$B$34,0)</f>
        <v/>
      </c>
      <c r="L43" s="20">
        <f>IF(L4=1,-입력값!$B$34,0)</f>
        <v/>
      </c>
      <c r="M43" s="20">
        <f>IF(M4=1,-입력값!$B$34,0)</f>
        <v/>
      </c>
      <c r="N43" s="20">
        <f>IF(N4=1,-입력값!$B$34,0)</f>
        <v/>
      </c>
      <c r="O43" s="20">
        <f>IF(O4=1,-입력값!$B$34,0)</f>
        <v/>
      </c>
      <c r="P43" s="20">
        <f>IF(P4=1,-입력값!$B$34,0)</f>
        <v/>
      </c>
      <c r="Q43" s="20">
        <f>IF(Q4=1,-입력값!$B$34,0)</f>
        <v/>
      </c>
      <c r="R43" s="20">
        <f>IF(R4=1,-입력값!$B$34,0)</f>
        <v/>
      </c>
      <c r="S43" s="20">
        <f>IF(S4=1,-입력값!$B$34,0)</f>
        <v/>
      </c>
      <c r="T43" s="20">
        <f>IF(T4=1,-입력값!$B$34,0)</f>
        <v/>
      </c>
      <c r="U43" s="20">
        <f>IF(U4=1,-입력값!$B$34,0)</f>
        <v/>
      </c>
      <c r="V43" s="20">
        <f>IF(V4=1,-입력값!$B$34,0)</f>
        <v/>
      </c>
      <c r="W43" s="20">
        <f>IF(W4=1,-입력값!$B$34,0)</f>
        <v/>
      </c>
      <c r="X43" s="20">
        <f>IF(X4=1,-입력값!$B$34,0)</f>
        <v/>
      </c>
      <c r="Y43" s="20">
        <f>IF(Y4=1,-입력값!$B$34,0)</f>
        <v/>
      </c>
      <c r="Z43" s="20">
        <f>IF(Z4=1,-입력값!$B$34,0)</f>
        <v/>
      </c>
      <c r="AA43" s="20">
        <f>IF(AA4=1,-입력값!$B$34,0)</f>
        <v/>
      </c>
      <c r="AB43" s="20">
        <f>IF(AB4=1,-입력값!$B$34,0)</f>
        <v/>
      </c>
      <c r="AC43" s="20">
        <f>IF(AC4=1,-입력값!$B$34,0)</f>
        <v/>
      </c>
      <c r="AD43" s="20">
        <f>IF(AD4=1,-입력값!$B$34,0)</f>
        <v/>
      </c>
      <c r="AE43" s="20">
        <f>IF(AE4=1,-입력값!$B$34,0)</f>
        <v/>
      </c>
      <c r="AF43" s="20">
        <f>IF(AF4=1,-입력값!$B$34,0)</f>
        <v/>
      </c>
      <c r="AG43" s="20">
        <f>IF(AG4=1,-입력값!$B$34,0)</f>
        <v/>
      </c>
      <c r="AH43" s="20">
        <f>IF(AH4=1,-입력값!$B$34,0)</f>
        <v/>
      </c>
      <c r="AI43" s="20">
        <f>IF(AI4=1,-입력값!$B$34,0)</f>
        <v/>
      </c>
      <c r="AJ43" s="20">
        <f>IF(AJ4=1,-입력값!$B$34,0)</f>
        <v/>
      </c>
      <c r="AK43" s="20">
        <f>IF(AK4=1,-입력값!$B$34,0)</f>
        <v/>
      </c>
      <c r="AL43" s="20">
        <f>IF(AL4=1,-입력값!$B$34,0)</f>
        <v/>
      </c>
      <c r="AM43" s="20">
        <f>IF(AM4=1,-입력값!$B$34,0)</f>
        <v/>
      </c>
      <c r="AN43" s="20">
        <f>IF(AN4=1,-입력값!$B$34,0)</f>
        <v/>
      </c>
      <c r="AO43" s="20">
        <f>IF(AO4=1,-입력값!$B$34,0)</f>
        <v/>
      </c>
      <c r="AP43" s="20">
        <f>IF(AP4=1,-입력값!$B$34,0)</f>
        <v/>
      </c>
      <c r="AQ43" s="20">
        <f>IF(AQ4=1,-입력값!$B$34,0)</f>
        <v/>
      </c>
      <c r="AR43" s="20">
        <f>IF(AR4=1,-입력값!$B$34,0)</f>
        <v/>
      </c>
      <c r="AS43" s="20">
        <f>IF(AS4=1,-입력값!$B$34,0)</f>
        <v/>
      </c>
      <c r="AT43" s="20">
        <f>IF(AT4=1,-입력값!$B$34,0)</f>
        <v/>
      </c>
      <c r="AU43" s="20">
        <f>IF(AU4=1,-입력값!$B$34,0)</f>
        <v/>
      </c>
      <c r="AV43" s="20">
        <f>IF(AV4=1,-입력값!$B$34,0)</f>
        <v/>
      </c>
      <c r="AW43" s="20">
        <f>IF(AW4=1,-입력값!$B$34,0)</f>
        <v/>
      </c>
      <c r="AX43" s="20">
        <f>IF(AX4=1,-입력값!$B$34,0)</f>
        <v/>
      </c>
      <c r="AY43" s="20">
        <f>IF(AY4=1,-입력값!$B$34,0)</f>
        <v/>
      </c>
      <c r="AZ43" s="20">
        <f>IF(AZ4=1,-입력값!$B$34,0)</f>
        <v/>
      </c>
      <c r="BA43" s="20">
        <f>IF(BA4=1,-입력값!$B$34,0)</f>
        <v/>
      </c>
      <c r="BB43" s="20">
        <f>IF(BB4=1,-입력값!$B$34,0)</f>
        <v/>
      </c>
      <c r="BC43" s="20">
        <f>IF(BC4=1,-입력값!$B$34,0)</f>
        <v/>
      </c>
      <c r="BD43" s="20">
        <f>IF(BD4=1,-입력값!$B$34,0)</f>
        <v/>
      </c>
      <c r="BE43" s="20">
        <f>IF(BE4=1,-입력값!$B$34,0)</f>
        <v/>
      </c>
      <c r="BF43" s="20">
        <f>IF(BF4=1,-입력값!$B$34,0)</f>
        <v/>
      </c>
      <c r="BG43" s="20">
        <f>IF(BG4=1,-입력값!$B$34,0)</f>
        <v/>
      </c>
      <c r="BH43" s="20">
        <f>IF(BH4=1,-입력값!$B$34,0)</f>
        <v/>
      </c>
      <c r="BI43" s="20">
        <f>IF(BI4=1,-입력값!$B$34,0)</f>
        <v/>
      </c>
      <c r="BJ43" s="20">
        <f>IF(BJ4=1,-입력값!$B$34,0)</f>
        <v/>
      </c>
    </row>
    <row r="44">
      <c r="A44" s="25" t="inlineStr">
        <is>
          <t>현금 잔액</t>
        </is>
      </c>
      <c r="C44" s="20">
        <f>입력값!$B$72+C41+C43</f>
        <v/>
      </c>
      <c r="D44" s="20">
        <f>C44+D41+D43</f>
        <v/>
      </c>
      <c r="E44" s="20">
        <f>D44+E41+E43</f>
        <v/>
      </c>
      <c r="F44" s="20">
        <f>E44+F41+F43</f>
        <v/>
      </c>
      <c r="G44" s="20">
        <f>F44+G41+G43</f>
        <v/>
      </c>
      <c r="H44" s="20">
        <f>G44+H41+H43</f>
        <v/>
      </c>
      <c r="I44" s="20">
        <f>H44+I41+I43</f>
        <v/>
      </c>
      <c r="J44" s="20">
        <f>I44+J41+J43</f>
        <v/>
      </c>
      <c r="K44" s="20">
        <f>J44+K41+K43</f>
        <v/>
      </c>
      <c r="L44" s="20">
        <f>K44+L41+L43</f>
        <v/>
      </c>
      <c r="M44" s="20">
        <f>L44+M41+M43</f>
        <v/>
      </c>
      <c r="N44" s="20">
        <f>M44+N41+N43</f>
        <v/>
      </c>
      <c r="O44" s="20">
        <f>N44+O41+O43</f>
        <v/>
      </c>
      <c r="P44" s="20">
        <f>O44+P41+P43</f>
        <v/>
      </c>
      <c r="Q44" s="20">
        <f>P44+Q41+Q43</f>
        <v/>
      </c>
      <c r="R44" s="20">
        <f>Q44+R41+R43</f>
        <v/>
      </c>
      <c r="S44" s="20">
        <f>R44+S41+S43</f>
        <v/>
      </c>
      <c r="T44" s="20">
        <f>S44+T41+T43</f>
        <v/>
      </c>
      <c r="U44" s="20">
        <f>T44+U41+U43</f>
        <v/>
      </c>
      <c r="V44" s="20">
        <f>U44+V41+V43</f>
        <v/>
      </c>
      <c r="W44" s="20">
        <f>V44+W41+W43</f>
        <v/>
      </c>
      <c r="X44" s="20">
        <f>W44+X41+X43</f>
        <v/>
      </c>
      <c r="Y44" s="20">
        <f>X44+Y41+Y43</f>
        <v/>
      </c>
      <c r="Z44" s="20">
        <f>Y44+Z41+Z43</f>
        <v/>
      </c>
      <c r="AA44" s="20">
        <f>Z44+AA41+AA43</f>
        <v/>
      </c>
      <c r="AB44" s="20">
        <f>AA44+AB41+AB43</f>
        <v/>
      </c>
      <c r="AC44" s="20">
        <f>AB44+AC41+AC43</f>
        <v/>
      </c>
      <c r="AD44" s="20">
        <f>AC44+AD41+AD43</f>
        <v/>
      </c>
      <c r="AE44" s="20">
        <f>AD44+AE41+AE43</f>
        <v/>
      </c>
      <c r="AF44" s="20">
        <f>AE44+AF41+AF43</f>
        <v/>
      </c>
      <c r="AG44" s="20">
        <f>AF44+AG41+AG43</f>
        <v/>
      </c>
      <c r="AH44" s="20">
        <f>AG44+AH41+AH43</f>
        <v/>
      </c>
      <c r="AI44" s="20">
        <f>AH44+AI41+AI43</f>
        <v/>
      </c>
      <c r="AJ44" s="20">
        <f>AI44+AJ41+AJ43</f>
        <v/>
      </c>
      <c r="AK44" s="20">
        <f>AJ44+AK41+AK43</f>
        <v/>
      </c>
      <c r="AL44" s="20">
        <f>AK44+AL41+AL43</f>
        <v/>
      </c>
      <c r="AM44" s="20">
        <f>AL44+AM41+AM43</f>
        <v/>
      </c>
      <c r="AN44" s="20">
        <f>AM44+AN41+AN43</f>
        <v/>
      </c>
      <c r="AO44" s="20">
        <f>AN44+AO41+AO43</f>
        <v/>
      </c>
      <c r="AP44" s="20">
        <f>AO44+AP41+AP43</f>
        <v/>
      </c>
      <c r="AQ44" s="20">
        <f>AP44+AQ41+AQ43</f>
        <v/>
      </c>
      <c r="AR44" s="20">
        <f>AQ44+AR41+AR43</f>
        <v/>
      </c>
      <c r="AS44" s="20">
        <f>AR44+AS41+AS43</f>
        <v/>
      </c>
      <c r="AT44" s="20">
        <f>AS44+AT41+AT43</f>
        <v/>
      </c>
      <c r="AU44" s="20">
        <f>AT44+AU41+AU43</f>
        <v/>
      </c>
      <c r="AV44" s="20">
        <f>AU44+AV41+AV43</f>
        <v/>
      </c>
      <c r="AW44" s="20">
        <f>AV44+AW41+AW43</f>
        <v/>
      </c>
      <c r="AX44" s="20">
        <f>AW44+AX41+AX43</f>
        <v/>
      </c>
      <c r="AY44" s="20">
        <f>AX44+AY41+AY43</f>
        <v/>
      </c>
      <c r="AZ44" s="20">
        <f>AY44+AZ41+AZ43</f>
        <v/>
      </c>
      <c r="BA44" s="20">
        <f>AZ44+BA41+BA43</f>
        <v/>
      </c>
      <c r="BB44" s="20">
        <f>BA44+BB41+BB43</f>
        <v/>
      </c>
      <c r="BC44" s="20">
        <f>BB44+BC41+BC43</f>
        <v/>
      </c>
      <c r="BD44" s="20">
        <f>BC44+BD41+BD43</f>
        <v/>
      </c>
      <c r="BE44" s="20">
        <f>BD44+BE41+BE43</f>
        <v/>
      </c>
      <c r="BF44" s="20">
        <f>BE44+BF41+BF43</f>
        <v/>
      </c>
      <c r="BG44" s="20">
        <f>BF44+BG41+BG43</f>
        <v/>
      </c>
      <c r="BH44" s="20">
        <f>BG44+BH41+BH43</f>
        <v/>
      </c>
      <c r="BI44" s="20">
        <f>BH44+BI41+BI43</f>
        <v/>
      </c>
      <c r="BJ44" s="20">
        <f>BI44+BJ41+BJ43</f>
        <v/>
      </c>
    </row>
    <row r="45">
      <c r="A45" s="18" t="inlineStr">
        <is>
          <t>보조 계산 (결과 요약용)</t>
        </is>
      </c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n"/>
    </row>
    <row r="46">
      <c r="A46" s="25" t="inlineStr">
        <is>
          <t>순이익 흑자 월 표시</t>
        </is>
      </c>
      <c r="B46" s="6" t="inlineStr">
        <is>
          <t>9999 = 해당 없음</t>
        </is>
      </c>
      <c r="C46" s="52">
        <f>IF(C41&gt;0,C4,9999)</f>
        <v/>
      </c>
      <c r="D46" s="52">
        <f>IF(D41&gt;0,D4,9999)</f>
        <v/>
      </c>
      <c r="E46" s="52">
        <f>IF(E41&gt;0,E4,9999)</f>
        <v/>
      </c>
      <c r="F46" s="52">
        <f>IF(F41&gt;0,F4,9999)</f>
        <v/>
      </c>
      <c r="G46" s="52">
        <f>IF(G41&gt;0,G4,9999)</f>
        <v/>
      </c>
      <c r="H46" s="52">
        <f>IF(H41&gt;0,H4,9999)</f>
        <v/>
      </c>
      <c r="I46" s="52">
        <f>IF(I41&gt;0,I4,9999)</f>
        <v/>
      </c>
      <c r="J46" s="52">
        <f>IF(J41&gt;0,J4,9999)</f>
        <v/>
      </c>
      <c r="K46" s="52">
        <f>IF(K41&gt;0,K4,9999)</f>
        <v/>
      </c>
      <c r="L46" s="52">
        <f>IF(L41&gt;0,L4,9999)</f>
        <v/>
      </c>
      <c r="M46" s="52">
        <f>IF(M41&gt;0,M4,9999)</f>
        <v/>
      </c>
      <c r="N46" s="52">
        <f>IF(N41&gt;0,N4,9999)</f>
        <v/>
      </c>
      <c r="O46" s="52">
        <f>IF(O41&gt;0,O4,9999)</f>
        <v/>
      </c>
      <c r="P46" s="52">
        <f>IF(P41&gt;0,P4,9999)</f>
        <v/>
      </c>
      <c r="Q46" s="52">
        <f>IF(Q41&gt;0,Q4,9999)</f>
        <v/>
      </c>
      <c r="R46" s="52">
        <f>IF(R41&gt;0,R4,9999)</f>
        <v/>
      </c>
      <c r="S46" s="52">
        <f>IF(S41&gt;0,S4,9999)</f>
        <v/>
      </c>
      <c r="T46" s="52">
        <f>IF(T41&gt;0,T4,9999)</f>
        <v/>
      </c>
      <c r="U46" s="52">
        <f>IF(U41&gt;0,U4,9999)</f>
        <v/>
      </c>
      <c r="V46" s="52">
        <f>IF(V41&gt;0,V4,9999)</f>
        <v/>
      </c>
      <c r="W46" s="52">
        <f>IF(W41&gt;0,W4,9999)</f>
        <v/>
      </c>
      <c r="X46" s="52">
        <f>IF(X41&gt;0,X4,9999)</f>
        <v/>
      </c>
      <c r="Y46" s="52">
        <f>IF(Y41&gt;0,Y4,9999)</f>
        <v/>
      </c>
      <c r="Z46" s="52">
        <f>IF(Z41&gt;0,Z4,9999)</f>
        <v/>
      </c>
      <c r="AA46" s="52">
        <f>IF(AA41&gt;0,AA4,9999)</f>
        <v/>
      </c>
      <c r="AB46" s="52">
        <f>IF(AB41&gt;0,AB4,9999)</f>
        <v/>
      </c>
      <c r="AC46" s="52">
        <f>IF(AC41&gt;0,AC4,9999)</f>
        <v/>
      </c>
      <c r="AD46" s="52">
        <f>IF(AD41&gt;0,AD4,9999)</f>
        <v/>
      </c>
      <c r="AE46" s="52">
        <f>IF(AE41&gt;0,AE4,9999)</f>
        <v/>
      </c>
      <c r="AF46" s="52">
        <f>IF(AF41&gt;0,AF4,9999)</f>
        <v/>
      </c>
      <c r="AG46" s="52">
        <f>IF(AG41&gt;0,AG4,9999)</f>
        <v/>
      </c>
      <c r="AH46" s="52">
        <f>IF(AH41&gt;0,AH4,9999)</f>
        <v/>
      </c>
      <c r="AI46" s="52">
        <f>IF(AI41&gt;0,AI4,9999)</f>
        <v/>
      </c>
      <c r="AJ46" s="52">
        <f>IF(AJ41&gt;0,AJ4,9999)</f>
        <v/>
      </c>
      <c r="AK46" s="52">
        <f>IF(AK41&gt;0,AK4,9999)</f>
        <v/>
      </c>
      <c r="AL46" s="52">
        <f>IF(AL41&gt;0,AL4,9999)</f>
        <v/>
      </c>
      <c r="AM46" s="52">
        <f>IF(AM41&gt;0,AM4,9999)</f>
        <v/>
      </c>
      <c r="AN46" s="52">
        <f>IF(AN41&gt;0,AN4,9999)</f>
        <v/>
      </c>
      <c r="AO46" s="52">
        <f>IF(AO41&gt;0,AO4,9999)</f>
        <v/>
      </c>
      <c r="AP46" s="52">
        <f>IF(AP41&gt;0,AP4,9999)</f>
        <v/>
      </c>
      <c r="AQ46" s="52">
        <f>IF(AQ41&gt;0,AQ4,9999)</f>
        <v/>
      </c>
      <c r="AR46" s="52">
        <f>IF(AR41&gt;0,AR4,9999)</f>
        <v/>
      </c>
      <c r="AS46" s="52">
        <f>IF(AS41&gt;0,AS4,9999)</f>
        <v/>
      </c>
      <c r="AT46" s="52">
        <f>IF(AT41&gt;0,AT4,9999)</f>
        <v/>
      </c>
      <c r="AU46" s="52">
        <f>IF(AU41&gt;0,AU4,9999)</f>
        <v/>
      </c>
      <c r="AV46" s="52">
        <f>IF(AV41&gt;0,AV4,9999)</f>
        <v/>
      </c>
      <c r="AW46" s="52">
        <f>IF(AW41&gt;0,AW4,9999)</f>
        <v/>
      </c>
      <c r="AX46" s="52">
        <f>IF(AX41&gt;0,AX4,9999)</f>
        <v/>
      </c>
      <c r="AY46" s="52">
        <f>IF(AY41&gt;0,AY4,9999)</f>
        <v/>
      </c>
      <c r="AZ46" s="52">
        <f>IF(AZ41&gt;0,AZ4,9999)</f>
        <v/>
      </c>
      <c r="BA46" s="52">
        <f>IF(BA41&gt;0,BA4,9999)</f>
        <v/>
      </c>
      <c r="BB46" s="52">
        <f>IF(BB41&gt;0,BB4,9999)</f>
        <v/>
      </c>
      <c r="BC46" s="52">
        <f>IF(BC41&gt;0,BC4,9999)</f>
        <v/>
      </c>
      <c r="BD46" s="52">
        <f>IF(BD41&gt;0,BD4,9999)</f>
        <v/>
      </c>
      <c r="BE46" s="52">
        <f>IF(BE41&gt;0,BE4,9999)</f>
        <v/>
      </c>
      <c r="BF46" s="52">
        <f>IF(BF41&gt;0,BF4,9999)</f>
        <v/>
      </c>
      <c r="BG46" s="52">
        <f>IF(BG41&gt;0,BG4,9999)</f>
        <v/>
      </c>
      <c r="BH46" s="52">
        <f>IF(BH41&gt;0,BH4,9999)</f>
        <v/>
      </c>
      <c r="BI46" s="52">
        <f>IF(BI41&gt;0,BI4,9999)</f>
        <v/>
      </c>
      <c r="BJ46" s="52">
        <f>IF(BJ41&gt;0,BJ4,9999)</f>
        <v/>
      </c>
    </row>
    <row r="47">
      <c r="A47" s="25" t="inlineStr">
        <is>
          <t>누적 손익분기 월 표시</t>
        </is>
      </c>
      <c r="C47" s="52">
        <f>IF(AND(C42&gt;=0,C41&gt;0),C4,9999)</f>
        <v/>
      </c>
      <c r="D47" s="52">
        <f>IF(AND(D42&gt;=0,D41&gt;0),D4,9999)</f>
        <v/>
      </c>
      <c r="E47" s="52">
        <f>IF(AND(E42&gt;=0,E41&gt;0),E4,9999)</f>
        <v/>
      </c>
      <c r="F47" s="52">
        <f>IF(AND(F42&gt;=0,F41&gt;0),F4,9999)</f>
        <v/>
      </c>
      <c r="G47" s="52">
        <f>IF(AND(G42&gt;=0,G41&gt;0),G4,9999)</f>
        <v/>
      </c>
      <c r="H47" s="52">
        <f>IF(AND(H42&gt;=0,H41&gt;0),H4,9999)</f>
        <v/>
      </c>
      <c r="I47" s="52">
        <f>IF(AND(I42&gt;=0,I41&gt;0),I4,9999)</f>
        <v/>
      </c>
      <c r="J47" s="52">
        <f>IF(AND(J42&gt;=0,J41&gt;0),J4,9999)</f>
        <v/>
      </c>
      <c r="K47" s="52">
        <f>IF(AND(K42&gt;=0,K41&gt;0),K4,9999)</f>
        <v/>
      </c>
      <c r="L47" s="52">
        <f>IF(AND(L42&gt;=0,L41&gt;0),L4,9999)</f>
        <v/>
      </c>
      <c r="M47" s="52">
        <f>IF(AND(M42&gt;=0,M41&gt;0),M4,9999)</f>
        <v/>
      </c>
      <c r="N47" s="52">
        <f>IF(AND(N42&gt;=0,N41&gt;0),N4,9999)</f>
        <v/>
      </c>
      <c r="O47" s="52">
        <f>IF(AND(O42&gt;=0,O41&gt;0),O4,9999)</f>
        <v/>
      </c>
      <c r="P47" s="52">
        <f>IF(AND(P42&gt;=0,P41&gt;0),P4,9999)</f>
        <v/>
      </c>
      <c r="Q47" s="52">
        <f>IF(AND(Q42&gt;=0,Q41&gt;0),Q4,9999)</f>
        <v/>
      </c>
      <c r="R47" s="52">
        <f>IF(AND(R42&gt;=0,R41&gt;0),R4,9999)</f>
        <v/>
      </c>
      <c r="S47" s="52">
        <f>IF(AND(S42&gt;=0,S41&gt;0),S4,9999)</f>
        <v/>
      </c>
      <c r="T47" s="52">
        <f>IF(AND(T42&gt;=0,T41&gt;0),T4,9999)</f>
        <v/>
      </c>
      <c r="U47" s="52">
        <f>IF(AND(U42&gt;=0,U41&gt;0),U4,9999)</f>
        <v/>
      </c>
      <c r="V47" s="52">
        <f>IF(AND(V42&gt;=0,V41&gt;0),V4,9999)</f>
        <v/>
      </c>
      <c r="W47" s="52">
        <f>IF(AND(W42&gt;=0,W41&gt;0),W4,9999)</f>
        <v/>
      </c>
      <c r="X47" s="52">
        <f>IF(AND(X42&gt;=0,X41&gt;0),X4,9999)</f>
        <v/>
      </c>
      <c r="Y47" s="52">
        <f>IF(AND(Y42&gt;=0,Y41&gt;0),Y4,9999)</f>
        <v/>
      </c>
      <c r="Z47" s="52">
        <f>IF(AND(Z42&gt;=0,Z41&gt;0),Z4,9999)</f>
        <v/>
      </c>
      <c r="AA47" s="52">
        <f>IF(AND(AA42&gt;=0,AA41&gt;0),AA4,9999)</f>
        <v/>
      </c>
      <c r="AB47" s="52">
        <f>IF(AND(AB42&gt;=0,AB41&gt;0),AB4,9999)</f>
        <v/>
      </c>
      <c r="AC47" s="52">
        <f>IF(AND(AC42&gt;=0,AC41&gt;0),AC4,9999)</f>
        <v/>
      </c>
      <c r="AD47" s="52">
        <f>IF(AND(AD42&gt;=0,AD41&gt;0),AD4,9999)</f>
        <v/>
      </c>
      <c r="AE47" s="52">
        <f>IF(AND(AE42&gt;=0,AE41&gt;0),AE4,9999)</f>
        <v/>
      </c>
      <c r="AF47" s="52">
        <f>IF(AND(AF42&gt;=0,AF41&gt;0),AF4,9999)</f>
        <v/>
      </c>
      <c r="AG47" s="52">
        <f>IF(AND(AG42&gt;=0,AG41&gt;0),AG4,9999)</f>
        <v/>
      </c>
      <c r="AH47" s="52">
        <f>IF(AND(AH42&gt;=0,AH41&gt;0),AH4,9999)</f>
        <v/>
      </c>
      <c r="AI47" s="52">
        <f>IF(AND(AI42&gt;=0,AI41&gt;0),AI4,9999)</f>
        <v/>
      </c>
      <c r="AJ47" s="52">
        <f>IF(AND(AJ42&gt;=0,AJ41&gt;0),AJ4,9999)</f>
        <v/>
      </c>
      <c r="AK47" s="52">
        <f>IF(AND(AK42&gt;=0,AK41&gt;0),AK4,9999)</f>
        <v/>
      </c>
      <c r="AL47" s="52">
        <f>IF(AND(AL42&gt;=0,AL41&gt;0),AL4,9999)</f>
        <v/>
      </c>
      <c r="AM47" s="52">
        <f>IF(AND(AM42&gt;=0,AM41&gt;0),AM4,9999)</f>
        <v/>
      </c>
      <c r="AN47" s="52">
        <f>IF(AND(AN42&gt;=0,AN41&gt;0),AN4,9999)</f>
        <v/>
      </c>
      <c r="AO47" s="52">
        <f>IF(AND(AO42&gt;=0,AO41&gt;0),AO4,9999)</f>
        <v/>
      </c>
      <c r="AP47" s="52">
        <f>IF(AND(AP42&gt;=0,AP41&gt;0),AP4,9999)</f>
        <v/>
      </c>
      <c r="AQ47" s="52">
        <f>IF(AND(AQ42&gt;=0,AQ41&gt;0),AQ4,9999)</f>
        <v/>
      </c>
      <c r="AR47" s="52">
        <f>IF(AND(AR42&gt;=0,AR41&gt;0),AR4,9999)</f>
        <v/>
      </c>
      <c r="AS47" s="52">
        <f>IF(AND(AS42&gt;=0,AS41&gt;0),AS4,9999)</f>
        <v/>
      </c>
      <c r="AT47" s="52">
        <f>IF(AND(AT42&gt;=0,AT41&gt;0),AT4,9999)</f>
        <v/>
      </c>
      <c r="AU47" s="52">
        <f>IF(AND(AU42&gt;=0,AU41&gt;0),AU4,9999)</f>
        <v/>
      </c>
      <c r="AV47" s="52">
        <f>IF(AND(AV42&gt;=0,AV41&gt;0),AV4,9999)</f>
        <v/>
      </c>
      <c r="AW47" s="52">
        <f>IF(AND(AW42&gt;=0,AW41&gt;0),AW4,9999)</f>
        <v/>
      </c>
      <c r="AX47" s="52">
        <f>IF(AND(AX42&gt;=0,AX41&gt;0),AX4,9999)</f>
        <v/>
      </c>
      <c r="AY47" s="52">
        <f>IF(AND(AY42&gt;=0,AY41&gt;0),AY4,9999)</f>
        <v/>
      </c>
      <c r="AZ47" s="52">
        <f>IF(AND(AZ42&gt;=0,AZ41&gt;0),AZ4,9999)</f>
        <v/>
      </c>
      <c r="BA47" s="52">
        <f>IF(AND(BA42&gt;=0,BA41&gt;0),BA4,9999)</f>
        <v/>
      </c>
      <c r="BB47" s="52">
        <f>IF(AND(BB42&gt;=0,BB41&gt;0),BB4,9999)</f>
        <v/>
      </c>
      <c r="BC47" s="52">
        <f>IF(AND(BC42&gt;=0,BC41&gt;0),BC4,9999)</f>
        <v/>
      </c>
      <c r="BD47" s="52">
        <f>IF(AND(BD42&gt;=0,BD41&gt;0),BD4,9999)</f>
        <v/>
      </c>
      <c r="BE47" s="52">
        <f>IF(AND(BE42&gt;=0,BE41&gt;0),BE4,9999)</f>
        <v/>
      </c>
      <c r="BF47" s="52">
        <f>IF(AND(BF42&gt;=0,BF41&gt;0),BF4,9999)</f>
        <v/>
      </c>
      <c r="BG47" s="52">
        <f>IF(AND(BG42&gt;=0,BG41&gt;0),BG4,9999)</f>
        <v/>
      </c>
      <c r="BH47" s="52">
        <f>IF(AND(BH42&gt;=0,BH41&gt;0),BH4,9999)</f>
        <v/>
      </c>
      <c r="BI47" s="52">
        <f>IF(AND(BI42&gt;=0,BI41&gt;0),BI4,9999)</f>
        <v/>
      </c>
      <c r="BJ47" s="52">
        <f>IF(AND(BJ42&gt;=0,BJ41&gt;0),BJ4,9999)</f>
        <v/>
      </c>
    </row>
    <row r="48">
      <c r="A48" s="25" t="inlineStr">
        <is>
          <t>현금 음수 월 표시</t>
        </is>
      </c>
      <c r="C48" s="52">
        <f>IF(C44&lt;0,C4,9999)</f>
        <v/>
      </c>
      <c r="D48" s="52">
        <f>IF(D44&lt;0,D4,9999)</f>
        <v/>
      </c>
      <c r="E48" s="52">
        <f>IF(E44&lt;0,E4,9999)</f>
        <v/>
      </c>
      <c r="F48" s="52">
        <f>IF(F44&lt;0,F4,9999)</f>
        <v/>
      </c>
      <c r="G48" s="52">
        <f>IF(G44&lt;0,G4,9999)</f>
        <v/>
      </c>
      <c r="H48" s="52">
        <f>IF(H44&lt;0,H4,9999)</f>
        <v/>
      </c>
      <c r="I48" s="52">
        <f>IF(I44&lt;0,I4,9999)</f>
        <v/>
      </c>
      <c r="J48" s="52">
        <f>IF(J44&lt;0,J4,9999)</f>
        <v/>
      </c>
      <c r="K48" s="52">
        <f>IF(K44&lt;0,K4,9999)</f>
        <v/>
      </c>
      <c r="L48" s="52">
        <f>IF(L44&lt;0,L4,9999)</f>
        <v/>
      </c>
      <c r="M48" s="52">
        <f>IF(M44&lt;0,M4,9999)</f>
        <v/>
      </c>
      <c r="N48" s="52">
        <f>IF(N44&lt;0,N4,9999)</f>
        <v/>
      </c>
      <c r="O48" s="52">
        <f>IF(O44&lt;0,O4,9999)</f>
        <v/>
      </c>
      <c r="P48" s="52">
        <f>IF(P44&lt;0,P4,9999)</f>
        <v/>
      </c>
      <c r="Q48" s="52">
        <f>IF(Q44&lt;0,Q4,9999)</f>
        <v/>
      </c>
      <c r="R48" s="52">
        <f>IF(R44&lt;0,R4,9999)</f>
        <v/>
      </c>
      <c r="S48" s="52">
        <f>IF(S44&lt;0,S4,9999)</f>
        <v/>
      </c>
      <c r="T48" s="52">
        <f>IF(T44&lt;0,T4,9999)</f>
        <v/>
      </c>
      <c r="U48" s="52">
        <f>IF(U44&lt;0,U4,9999)</f>
        <v/>
      </c>
      <c r="V48" s="52">
        <f>IF(V44&lt;0,V4,9999)</f>
        <v/>
      </c>
      <c r="W48" s="52">
        <f>IF(W44&lt;0,W4,9999)</f>
        <v/>
      </c>
      <c r="X48" s="52">
        <f>IF(X44&lt;0,X4,9999)</f>
        <v/>
      </c>
      <c r="Y48" s="52">
        <f>IF(Y44&lt;0,Y4,9999)</f>
        <v/>
      </c>
      <c r="Z48" s="52">
        <f>IF(Z44&lt;0,Z4,9999)</f>
        <v/>
      </c>
      <c r="AA48" s="52">
        <f>IF(AA44&lt;0,AA4,9999)</f>
        <v/>
      </c>
      <c r="AB48" s="52">
        <f>IF(AB44&lt;0,AB4,9999)</f>
        <v/>
      </c>
      <c r="AC48" s="52">
        <f>IF(AC44&lt;0,AC4,9999)</f>
        <v/>
      </c>
      <c r="AD48" s="52">
        <f>IF(AD44&lt;0,AD4,9999)</f>
        <v/>
      </c>
      <c r="AE48" s="52">
        <f>IF(AE44&lt;0,AE4,9999)</f>
        <v/>
      </c>
      <c r="AF48" s="52">
        <f>IF(AF44&lt;0,AF4,9999)</f>
        <v/>
      </c>
      <c r="AG48" s="52">
        <f>IF(AG44&lt;0,AG4,9999)</f>
        <v/>
      </c>
      <c r="AH48" s="52">
        <f>IF(AH44&lt;0,AH4,9999)</f>
        <v/>
      </c>
      <c r="AI48" s="52">
        <f>IF(AI44&lt;0,AI4,9999)</f>
        <v/>
      </c>
      <c r="AJ48" s="52">
        <f>IF(AJ44&lt;0,AJ4,9999)</f>
        <v/>
      </c>
      <c r="AK48" s="52">
        <f>IF(AK44&lt;0,AK4,9999)</f>
        <v/>
      </c>
      <c r="AL48" s="52">
        <f>IF(AL44&lt;0,AL4,9999)</f>
        <v/>
      </c>
      <c r="AM48" s="52">
        <f>IF(AM44&lt;0,AM4,9999)</f>
        <v/>
      </c>
      <c r="AN48" s="52">
        <f>IF(AN44&lt;0,AN4,9999)</f>
        <v/>
      </c>
      <c r="AO48" s="52">
        <f>IF(AO44&lt;0,AO4,9999)</f>
        <v/>
      </c>
      <c r="AP48" s="52">
        <f>IF(AP44&lt;0,AP4,9999)</f>
        <v/>
      </c>
      <c r="AQ48" s="52">
        <f>IF(AQ44&lt;0,AQ4,9999)</f>
        <v/>
      </c>
      <c r="AR48" s="52">
        <f>IF(AR44&lt;0,AR4,9999)</f>
        <v/>
      </c>
      <c r="AS48" s="52">
        <f>IF(AS44&lt;0,AS4,9999)</f>
        <v/>
      </c>
      <c r="AT48" s="52">
        <f>IF(AT44&lt;0,AT4,9999)</f>
        <v/>
      </c>
      <c r="AU48" s="52">
        <f>IF(AU44&lt;0,AU4,9999)</f>
        <v/>
      </c>
      <c r="AV48" s="52">
        <f>IF(AV44&lt;0,AV4,9999)</f>
        <v/>
      </c>
      <c r="AW48" s="52">
        <f>IF(AW44&lt;0,AW4,9999)</f>
        <v/>
      </c>
      <c r="AX48" s="52">
        <f>IF(AX44&lt;0,AX4,9999)</f>
        <v/>
      </c>
      <c r="AY48" s="52">
        <f>IF(AY44&lt;0,AY4,9999)</f>
        <v/>
      </c>
      <c r="AZ48" s="52">
        <f>IF(AZ44&lt;0,AZ4,9999)</f>
        <v/>
      </c>
      <c r="BA48" s="52">
        <f>IF(BA44&lt;0,BA4,9999)</f>
        <v/>
      </c>
      <c r="BB48" s="52">
        <f>IF(BB44&lt;0,BB4,9999)</f>
        <v/>
      </c>
      <c r="BC48" s="52">
        <f>IF(BC44&lt;0,BC4,9999)</f>
        <v/>
      </c>
      <c r="BD48" s="52">
        <f>IF(BD44&lt;0,BD4,9999)</f>
        <v/>
      </c>
      <c r="BE48" s="52">
        <f>IF(BE44&lt;0,BE4,9999)</f>
        <v/>
      </c>
      <c r="BF48" s="52">
        <f>IF(BF44&lt;0,BF4,9999)</f>
        <v/>
      </c>
      <c r="BG48" s="52">
        <f>IF(BG44&lt;0,BG4,9999)</f>
        <v/>
      </c>
      <c r="BH48" s="52">
        <f>IF(BH44&lt;0,BH4,9999)</f>
        <v/>
      </c>
      <c r="BI48" s="52">
        <f>IF(BI44&lt;0,BI4,9999)</f>
        <v/>
      </c>
      <c r="BJ48" s="52">
        <f>IF(BJ44&lt;0,BJ4,9999)</f>
        <v/>
      </c>
    </row>
    <row r="49">
      <c r="A49" s="25" t="inlineStr">
        <is>
          <t>추가 CS 인력 필요 월 표시</t>
        </is>
      </c>
      <c r="C49" s="52">
        <f>IF(C22&gt;0,C4,9999)</f>
        <v/>
      </c>
      <c r="D49" s="52">
        <f>IF(D22&gt;0,D4,9999)</f>
        <v/>
      </c>
      <c r="E49" s="52">
        <f>IF(E22&gt;0,E4,9999)</f>
        <v/>
      </c>
      <c r="F49" s="52">
        <f>IF(F22&gt;0,F4,9999)</f>
        <v/>
      </c>
      <c r="G49" s="52">
        <f>IF(G22&gt;0,G4,9999)</f>
        <v/>
      </c>
      <c r="H49" s="52">
        <f>IF(H22&gt;0,H4,9999)</f>
        <v/>
      </c>
      <c r="I49" s="52">
        <f>IF(I22&gt;0,I4,9999)</f>
        <v/>
      </c>
      <c r="J49" s="52">
        <f>IF(J22&gt;0,J4,9999)</f>
        <v/>
      </c>
      <c r="K49" s="52">
        <f>IF(K22&gt;0,K4,9999)</f>
        <v/>
      </c>
      <c r="L49" s="52">
        <f>IF(L22&gt;0,L4,9999)</f>
        <v/>
      </c>
      <c r="M49" s="52">
        <f>IF(M22&gt;0,M4,9999)</f>
        <v/>
      </c>
      <c r="N49" s="52">
        <f>IF(N22&gt;0,N4,9999)</f>
        <v/>
      </c>
      <c r="O49" s="52">
        <f>IF(O22&gt;0,O4,9999)</f>
        <v/>
      </c>
      <c r="P49" s="52">
        <f>IF(P22&gt;0,P4,9999)</f>
        <v/>
      </c>
      <c r="Q49" s="52">
        <f>IF(Q22&gt;0,Q4,9999)</f>
        <v/>
      </c>
      <c r="R49" s="52">
        <f>IF(R22&gt;0,R4,9999)</f>
        <v/>
      </c>
      <c r="S49" s="52">
        <f>IF(S22&gt;0,S4,9999)</f>
        <v/>
      </c>
      <c r="T49" s="52">
        <f>IF(T22&gt;0,T4,9999)</f>
        <v/>
      </c>
      <c r="U49" s="52">
        <f>IF(U22&gt;0,U4,9999)</f>
        <v/>
      </c>
      <c r="V49" s="52">
        <f>IF(V22&gt;0,V4,9999)</f>
        <v/>
      </c>
      <c r="W49" s="52">
        <f>IF(W22&gt;0,W4,9999)</f>
        <v/>
      </c>
      <c r="X49" s="52">
        <f>IF(X22&gt;0,X4,9999)</f>
        <v/>
      </c>
      <c r="Y49" s="52">
        <f>IF(Y22&gt;0,Y4,9999)</f>
        <v/>
      </c>
      <c r="Z49" s="52">
        <f>IF(Z22&gt;0,Z4,9999)</f>
        <v/>
      </c>
      <c r="AA49" s="52">
        <f>IF(AA22&gt;0,AA4,9999)</f>
        <v/>
      </c>
      <c r="AB49" s="52">
        <f>IF(AB22&gt;0,AB4,9999)</f>
        <v/>
      </c>
      <c r="AC49" s="52">
        <f>IF(AC22&gt;0,AC4,9999)</f>
        <v/>
      </c>
      <c r="AD49" s="52">
        <f>IF(AD22&gt;0,AD4,9999)</f>
        <v/>
      </c>
      <c r="AE49" s="52">
        <f>IF(AE22&gt;0,AE4,9999)</f>
        <v/>
      </c>
      <c r="AF49" s="52">
        <f>IF(AF22&gt;0,AF4,9999)</f>
        <v/>
      </c>
      <c r="AG49" s="52">
        <f>IF(AG22&gt;0,AG4,9999)</f>
        <v/>
      </c>
      <c r="AH49" s="52">
        <f>IF(AH22&gt;0,AH4,9999)</f>
        <v/>
      </c>
      <c r="AI49" s="52">
        <f>IF(AI22&gt;0,AI4,9999)</f>
        <v/>
      </c>
      <c r="AJ49" s="52">
        <f>IF(AJ22&gt;0,AJ4,9999)</f>
        <v/>
      </c>
      <c r="AK49" s="52">
        <f>IF(AK22&gt;0,AK4,9999)</f>
        <v/>
      </c>
      <c r="AL49" s="52">
        <f>IF(AL22&gt;0,AL4,9999)</f>
        <v/>
      </c>
      <c r="AM49" s="52">
        <f>IF(AM22&gt;0,AM4,9999)</f>
        <v/>
      </c>
      <c r="AN49" s="52">
        <f>IF(AN22&gt;0,AN4,9999)</f>
        <v/>
      </c>
      <c r="AO49" s="52">
        <f>IF(AO22&gt;0,AO4,9999)</f>
        <v/>
      </c>
      <c r="AP49" s="52">
        <f>IF(AP22&gt;0,AP4,9999)</f>
        <v/>
      </c>
      <c r="AQ49" s="52">
        <f>IF(AQ22&gt;0,AQ4,9999)</f>
        <v/>
      </c>
      <c r="AR49" s="52">
        <f>IF(AR22&gt;0,AR4,9999)</f>
        <v/>
      </c>
      <c r="AS49" s="52">
        <f>IF(AS22&gt;0,AS4,9999)</f>
        <v/>
      </c>
      <c r="AT49" s="52">
        <f>IF(AT22&gt;0,AT4,9999)</f>
        <v/>
      </c>
      <c r="AU49" s="52">
        <f>IF(AU22&gt;0,AU4,9999)</f>
        <v/>
      </c>
      <c r="AV49" s="52">
        <f>IF(AV22&gt;0,AV4,9999)</f>
        <v/>
      </c>
      <c r="AW49" s="52">
        <f>IF(AW22&gt;0,AW4,9999)</f>
        <v/>
      </c>
      <c r="AX49" s="52">
        <f>IF(AX22&gt;0,AX4,9999)</f>
        <v/>
      </c>
      <c r="AY49" s="52">
        <f>IF(AY22&gt;0,AY4,9999)</f>
        <v/>
      </c>
      <c r="AZ49" s="52">
        <f>IF(AZ22&gt;0,AZ4,9999)</f>
        <v/>
      </c>
      <c r="BA49" s="52">
        <f>IF(BA22&gt;0,BA4,9999)</f>
        <v/>
      </c>
      <c r="BB49" s="52">
        <f>IF(BB22&gt;0,BB4,9999)</f>
        <v/>
      </c>
      <c r="BC49" s="52">
        <f>IF(BC22&gt;0,BC4,9999)</f>
        <v/>
      </c>
      <c r="BD49" s="52">
        <f>IF(BD22&gt;0,BD4,9999)</f>
        <v/>
      </c>
      <c r="BE49" s="52">
        <f>IF(BE22&gt;0,BE4,9999)</f>
        <v/>
      </c>
      <c r="BF49" s="52">
        <f>IF(BF22&gt;0,BF4,9999)</f>
        <v/>
      </c>
      <c r="BG49" s="52">
        <f>IF(BG22&gt;0,BG4,9999)</f>
        <v/>
      </c>
      <c r="BH49" s="52">
        <f>IF(BH22&gt;0,BH4,9999)</f>
        <v/>
      </c>
      <c r="BI49" s="52">
        <f>IF(BI22&gt;0,BI4,9999)</f>
        <v/>
      </c>
      <c r="BJ49" s="52">
        <f>IF(BJ22&gt;0,BJ4,9999)</f>
        <v/>
      </c>
    </row>
  </sheetData>
  <conditionalFormatting sqref="C41:BJ41">
    <cfRule type="cellIs" priority="1" operator="lessThan" dxfId="3">
      <formula>0</formula>
    </cfRule>
  </conditionalFormatting>
  <conditionalFormatting sqref="C44:BJ44">
    <cfRule type="cellIs" priority="2" operator="lessThan" dxfId="1">
      <formula>0</formula>
    </cfRule>
  </conditionalFormatting>
  <conditionalFormatting sqref="C21:BJ21">
    <cfRule type="cellIs" priority="3" operator="greaterThan" dxfId="1">
      <formula>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연도별 요약 — 세금·투자자 몫은 연 단위로 계산</t>
        </is>
      </c>
    </row>
    <row r="2">
      <c r="A2" s="6" t="inlineStr">
        <is>
          <t>연차 = 시작 월부터 12개월 단위(회계연도 단순화). 법인세는 연간 과세표준에 누진세율, 이월결손금 공제 반영.</t>
        </is>
      </c>
    </row>
    <row r="4">
      <c r="A4" s="8" t="inlineStr">
        <is>
          <t>연차</t>
        </is>
      </c>
      <c r="B4" s="53" t="n">
        <v>1</v>
      </c>
      <c r="C4" s="53" t="n">
        <v>2</v>
      </c>
      <c r="D4" s="53" t="n">
        <v>3</v>
      </c>
      <c r="E4" s="53" t="n">
        <v>4</v>
      </c>
      <c r="F4" s="53" t="n">
        <v>5</v>
      </c>
    </row>
    <row r="5">
      <c r="A5" s="25" t="inlineStr">
        <is>
          <t>시작 월</t>
        </is>
      </c>
      <c r="B5" s="12">
        <f>EDATE(입력값!$B$67,12*(B4-1))</f>
        <v/>
      </c>
      <c r="C5" s="12">
        <f>EDATE(입력값!$B$67,12*(C4-1))</f>
        <v/>
      </c>
      <c r="D5" s="12">
        <f>EDATE(입력값!$B$67,12*(D4-1))</f>
        <v/>
      </c>
      <c r="E5" s="12">
        <f>EDATE(입력값!$B$67,12*(E4-1))</f>
        <v/>
      </c>
      <c r="F5" s="12">
        <f>EDATE(입력값!$B$67,12*(F4-1))</f>
        <v/>
      </c>
    </row>
    <row r="6">
      <c r="A6" s="25" t="inlineStr">
        <is>
          <t>기말 셀프서브 고객사 수</t>
        </is>
      </c>
      <c r="B6" s="54">
        <f>INDEX(월별전망!$C$10:$BJ$10,12*B4)</f>
        <v/>
      </c>
      <c r="C6" s="54">
        <f>INDEX(월별전망!$C$10:$BJ$10,12*C4)</f>
        <v/>
      </c>
      <c r="D6" s="54">
        <f>INDEX(월별전망!$C$10:$BJ$10,12*D4)</f>
        <v/>
      </c>
      <c r="E6" s="54">
        <f>INDEX(월별전망!$C$10:$BJ$10,12*E4)</f>
        <v/>
      </c>
      <c r="F6" s="54">
        <f>INDEX(월별전망!$C$10:$BJ$10,12*F4)</f>
        <v/>
      </c>
    </row>
    <row r="7">
      <c r="A7" s="25" t="inlineStr">
        <is>
          <t>기말 Enterprise 고객사 수</t>
        </is>
      </c>
      <c r="B7" s="55">
        <f>INDEX(월별전망!$C$11:$BJ$11,12*B4)</f>
        <v/>
      </c>
      <c r="C7" s="55">
        <f>INDEX(월별전망!$C$11:$BJ$11,12*C4)</f>
        <v/>
      </c>
      <c r="D7" s="55">
        <f>INDEX(월별전망!$C$11:$BJ$11,12*D4)</f>
        <v/>
      </c>
      <c r="E7" s="55">
        <f>INDEX(월별전망!$C$11:$BJ$11,12*E4)</f>
        <v/>
      </c>
      <c r="F7" s="55">
        <f>INDEX(월별전망!$C$11:$BJ$11,12*F4)</f>
        <v/>
      </c>
    </row>
    <row r="8">
      <c r="A8" s="25" t="inlineStr">
        <is>
          <t>기말 총 seat</t>
        </is>
      </c>
      <c r="B8" s="54">
        <f>INDEX(월별전망!$C$17:$BJ$17,12*B4)</f>
        <v/>
      </c>
      <c r="C8" s="54">
        <f>INDEX(월별전망!$C$17:$BJ$17,12*C4)</f>
        <v/>
      </c>
      <c r="D8" s="54">
        <f>INDEX(월별전망!$C$17:$BJ$17,12*D4)</f>
        <v/>
      </c>
      <c r="E8" s="54">
        <f>INDEX(월별전망!$C$17:$BJ$17,12*E4)</f>
        <v/>
      </c>
      <c r="F8" s="54">
        <f>INDEX(월별전망!$C$17:$BJ$17,12*F4)</f>
        <v/>
      </c>
    </row>
    <row r="9">
      <c r="A9" s="25" t="inlineStr">
        <is>
          <t>기말 추가 CS 인력 (명)</t>
        </is>
      </c>
      <c r="B9" s="54">
        <f>INDEX(월별전망!$C$22:$BJ$22,12*B4)</f>
        <v/>
      </c>
      <c r="C9" s="54">
        <f>INDEX(월별전망!$C$22:$BJ$22,12*C4)</f>
        <v/>
      </c>
      <c r="D9" s="54">
        <f>INDEX(월별전망!$C$22:$BJ$22,12*D4)</f>
        <v/>
      </c>
      <c r="E9" s="54">
        <f>INDEX(월별전망!$C$22:$BJ$22,12*E4)</f>
        <v/>
      </c>
      <c r="F9" s="54">
        <f>INDEX(월별전망!$C$22:$BJ$22,12*F4)</f>
        <v/>
      </c>
    </row>
    <row r="10">
      <c r="A10" s="25" t="inlineStr">
        <is>
          <t>기말 전담 CSM (명)</t>
        </is>
      </c>
      <c r="B10" s="54">
        <f>INDEX(월별전망!$C$23:$BJ$23,12*B4)</f>
        <v/>
      </c>
      <c r="C10" s="54">
        <f>INDEX(월별전망!$C$23:$BJ$23,12*C4)</f>
        <v/>
      </c>
      <c r="D10" s="54">
        <f>INDEX(월별전망!$C$23:$BJ$23,12*D4)</f>
        <v/>
      </c>
      <c r="E10" s="54">
        <f>INDEX(월별전망!$C$23:$BJ$23,12*E4)</f>
        <v/>
      </c>
      <c r="F10" s="54">
        <f>INDEX(월별전망!$C$23:$BJ$23,12*F4)</f>
        <v/>
      </c>
    </row>
    <row r="11">
      <c r="A11" s="25" t="inlineStr">
        <is>
          <t>매출 (구축비 청구 포함)</t>
        </is>
      </c>
      <c r="B11" s="16">
        <f>SUMIF(월별전망!$C$6:$BJ$6,B4,월별전망!$C$25:$BJ$25)+SUMIF(월별전망!$C$6:$BJ$6,B4,월별전망!$C$26:$BJ$26)</f>
        <v/>
      </c>
      <c r="C11" s="16">
        <f>SUMIF(월별전망!$C$6:$BJ$6,C4,월별전망!$C$25:$BJ$25)+SUMIF(월별전망!$C$6:$BJ$6,C4,월별전망!$C$26:$BJ$26)</f>
        <v/>
      </c>
      <c r="D11" s="16">
        <f>SUMIF(월별전망!$C$6:$BJ$6,D4,월별전망!$C$25:$BJ$25)+SUMIF(월별전망!$C$6:$BJ$6,D4,월별전망!$C$26:$BJ$26)</f>
        <v/>
      </c>
      <c r="E11" s="16">
        <f>SUMIF(월별전망!$C$6:$BJ$6,E4,월별전망!$C$25:$BJ$25)+SUMIF(월별전망!$C$6:$BJ$6,E4,월별전망!$C$26:$BJ$26)</f>
        <v/>
      </c>
      <c r="F11" s="16">
        <f>SUMIF(월별전망!$C$6:$BJ$6,F4,월별전망!$C$25:$BJ$25)+SUMIF(월별전망!$C$6:$BJ$6,F4,월별전망!$C$26:$BJ$26)</f>
        <v/>
      </c>
    </row>
    <row r="12">
      <c r="A12" s="25" t="inlineStr">
        <is>
          <t>공헌이익</t>
        </is>
      </c>
      <c r="B12" s="16">
        <f>SUMIF(월별전망!$C$6:$BJ$6,B4,월별전망!$C$29:$BJ$29)</f>
        <v/>
      </c>
      <c r="C12" s="16">
        <f>SUMIF(월별전망!$C$6:$BJ$6,C4,월별전망!$C$29:$BJ$29)</f>
        <v/>
      </c>
      <c r="D12" s="16">
        <f>SUMIF(월별전망!$C$6:$BJ$6,D4,월별전망!$C$29:$BJ$29)</f>
        <v/>
      </c>
      <c r="E12" s="16">
        <f>SUMIF(월별전망!$C$6:$BJ$6,E4,월별전망!$C$29:$BJ$29)</f>
        <v/>
      </c>
      <c r="F12" s="16">
        <f>SUMIF(월별전망!$C$6:$BJ$6,F4,월별전망!$C$29:$BJ$29)</f>
        <v/>
      </c>
    </row>
    <row r="13">
      <c r="A13" s="25" t="inlineStr">
        <is>
          <t>(−) 고정비·인력·구축비 합계</t>
        </is>
      </c>
      <c r="B13" s="20">
        <f>B14-B12</f>
        <v/>
      </c>
      <c r="C13" s="20">
        <f>C14-C12</f>
        <v/>
      </c>
      <c r="D13" s="20">
        <f>D14-D12</f>
        <v/>
      </c>
      <c r="E13" s="20">
        <f>E14-E12</f>
        <v/>
      </c>
      <c r="F13" s="20">
        <f>F14-F12</f>
        <v/>
      </c>
    </row>
    <row r="14">
      <c r="A14" s="8" t="inlineStr">
        <is>
          <t>→ 세전이익 (영업이익)</t>
        </is>
      </c>
      <c r="B14" s="56">
        <f>SUMIF(월별전망!$C$6:$BJ$6,B4,월별전망!$C$38:$BJ$38)</f>
        <v/>
      </c>
      <c r="C14" s="56">
        <f>SUMIF(월별전망!$C$6:$BJ$6,C4,월별전망!$C$38:$BJ$38)</f>
        <v/>
      </c>
      <c r="D14" s="56">
        <f>SUMIF(월별전망!$C$6:$BJ$6,D4,월별전망!$C$38:$BJ$38)</f>
        <v/>
      </c>
      <c r="E14" s="56">
        <f>SUMIF(월별전망!$C$6:$BJ$6,E4,월별전망!$C$38:$BJ$38)</f>
        <v/>
      </c>
      <c r="F14" s="56">
        <f>SUMIF(월별전망!$C$6:$BJ$6,F4,월별전망!$C$38:$BJ$38)</f>
        <v/>
      </c>
    </row>
    <row r="15">
      <c r="A15" s="25" t="inlineStr">
        <is>
          <t>기초 이월결손금</t>
        </is>
      </c>
      <c r="B15" s="20" t="n">
        <v>0</v>
      </c>
      <c r="C15" s="20">
        <f>B19</f>
        <v/>
      </c>
      <c r="D15" s="20">
        <f>C19</f>
        <v/>
      </c>
      <c r="E15" s="20">
        <f>D19</f>
        <v/>
      </c>
      <c r="F15" s="20">
        <f>E19</f>
        <v/>
      </c>
    </row>
    <row r="16">
      <c r="A16" s="25" t="inlineStr">
        <is>
          <t>이월결손금 공제액</t>
        </is>
      </c>
      <c r="B16" s="20">
        <f>MIN(B15,MAX(0,B14)*입력값!$B$61)</f>
        <v/>
      </c>
      <c r="C16" s="20">
        <f>MIN(C15,MAX(0,C14)*입력값!$B$61)</f>
        <v/>
      </c>
      <c r="D16" s="20">
        <f>MIN(D15,MAX(0,D14)*입력값!$B$61)</f>
        <v/>
      </c>
      <c r="E16" s="20">
        <f>MIN(E15,MAX(0,E14)*입력값!$B$61)</f>
        <v/>
      </c>
      <c r="F16" s="20">
        <f>MIN(F15,MAX(0,F14)*입력값!$B$61)</f>
        <v/>
      </c>
    </row>
    <row r="17">
      <c r="A17" s="25" t="inlineStr">
        <is>
          <t>과세표준</t>
        </is>
      </c>
      <c r="B17" s="20">
        <f>MAX(0,B14-B16)</f>
        <v/>
      </c>
      <c r="C17" s="20">
        <f>MAX(0,C14-C16)</f>
        <v/>
      </c>
      <c r="D17" s="20">
        <f>MAX(0,D14-D16)</f>
        <v/>
      </c>
      <c r="E17" s="20">
        <f>MAX(0,E14-E16)</f>
        <v/>
      </c>
      <c r="F17" s="20">
        <f>MAX(0,F14-F16)</f>
        <v/>
      </c>
    </row>
    <row r="18">
      <c r="A18" s="25" t="inlineStr">
        <is>
          <t>법인세 + 지방소득세 (감면 반영)</t>
        </is>
      </c>
      <c r="B18" s="20">
        <f>(MIN(B17,입력값!$A$55)*입력값!$B$55+MAX(0,MIN(B17,입력값!$A$56)-입력값!$A$55)*입력값!$B$56+MAX(0,MIN(B17,입력값!$A$57)-입력값!$A$56)*입력값!$B$57+MAX(0,B17-입력값!$A$57)*입력값!$B$58)*(1+입력값!$B$59)*(1-입력값!$B$60)</f>
        <v/>
      </c>
      <c r="C18" s="20">
        <f>(MIN(C17,입력값!$A$55)*입력값!$B$55+MAX(0,MIN(C17,입력값!$A$56)-입력값!$A$55)*입력값!$B$56+MAX(0,MIN(C17,입력값!$A$57)-입력값!$A$56)*입력값!$B$57+MAX(0,C17-입력값!$A$57)*입력값!$B$58)*(1+입력값!$B$59)*(1-입력값!$B$60)</f>
        <v/>
      </c>
      <c r="D18" s="20">
        <f>(MIN(D17,입력값!$A$55)*입력값!$B$55+MAX(0,MIN(D17,입력값!$A$56)-입력값!$A$55)*입력값!$B$56+MAX(0,MIN(D17,입력값!$A$57)-입력값!$A$56)*입력값!$B$57+MAX(0,D17-입력값!$A$57)*입력값!$B$58)*(1+입력값!$B$59)*(1-입력값!$B$60)</f>
        <v/>
      </c>
      <c r="E18" s="20">
        <f>(MIN(E17,입력값!$A$55)*입력값!$B$55+MAX(0,MIN(E17,입력값!$A$56)-입력값!$A$55)*입력값!$B$56+MAX(0,MIN(E17,입력값!$A$57)-입력값!$A$56)*입력값!$B$57+MAX(0,E17-입력값!$A$57)*입력값!$B$58)*(1+입력값!$B$59)*(1-입력값!$B$60)</f>
        <v/>
      </c>
      <c r="F18" s="20">
        <f>(MIN(F17,입력값!$A$55)*입력값!$B$55+MAX(0,MIN(F17,입력값!$A$56)-입력값!$A$55)*입력값!$B$56+MAX(0,MIN(F17,입력값!$A$57)-입력값!$A$56)*입력값!$B$57+MAX(0,F17-입력값!$A$57)*입력값!$B$58)*(1+입력값!$B$59)*(1-입력값!$B$60)</f>
        <v/>
      </c>
    </row>
    <row r="19">
      <c r="A19" s="25" t="inlineStr">
        <is>
          <t>기말 이월결손금</t>
        </is>
      </c>
      <c r="B19" s="20">
        <f>B15-B16+MAX(0,-B14)</f>
        <v/>
      </c>
      <c r="C19" s="20">
        <f>C15-C16+MAX(0,-C14)</f>
        <v/>
      </c>
      <c r="D19" s="20">
        <f>D15-D16+MAX(0,-D14)</f>
        <v/>
      </c>
      <c r="E19" s="20">
        <f>E15-E16+MAX(0,-E14)</f>
        <v/>
      </c>
      <c r="F19" s="20">
        <f>F15-F16+MAX(0,-F14)</f>
        <v/>
      </c>
    </row>
    <row r="20">
      <c r="A20" s="8" t="inlineStr">
        <is>
          <t>→ 세후이익</t>
        </is>
      </c>
      <c r="B20" s="11">
        <f>B14-B18</f>
        <v/>
      </c>
      <c r="C20" s="11">
        <f>C14-C18</f>
        <v/>
      </c>
      <c r="D20" s="11">
        <f>D14-D18</f>
        <v/>
      </c>
      <c r="E20" s="11">
        <f>E14-E18</f>
        <v/>
      </c>
      <c r="F20" s="11">
        <f>F14-F18</f>
        <v/>
      </c>
    </row>
    <row r="21">
      <c r="A21" s="25" t="inlineStr">
        <is>
          <t>(−) 투자자 지분 6%</t>
        </is>
      </c>
      <c r="B21" s="20">
        <f>MAX(0,B20)*입력값!$B$64</f>
        <v/>
      </c>
      <c r="C21" s="20">
        <f>MAX(0,C20)*입력값!$B$64</f>
        <v/>
      </c>
      <c r="D21" s="20">
        <f>MAX(0,D20)*입력값!$B$64</f>
        <v/>
      </c>
      <c r="E21" s="20">
        <f>MAX(0,E20)*입력값!$B$64</f>
        <v/>
      </c>
      <c r="F21" s="20">
        <f>MAX(0,F20)*입력값!$B$64</f>
        <v/>
      </c>
    </row>
    <row r="22">
      <c r="A22" s="8" t="inlineStr">
        <is>
          <t>→ 순이익</t>
        </is>
      </c>
      <c r="B22" s="45">
        <f>B20-B21</f>
        <v/>
      </c>
      <c r="C22" s="45">
        <f>C20-C21</f>
        <v/>
      </c>
      <c r="D22" s="45">
        <f>D20-D21</f>
        <v/>
      </c>
      <c r="E22" s="45">
        <f>E20-E21</f>
        <v/>
      </c>
      <c r="F22" s="45">
        <f>F20-F21</f>
        <v/>
      </c>
    </row>
    <row r="23">
      <c r="A23" s="25" t="inlineStr">
        <is>
          <t>순이익률</t>
        </is>
      </c>
      <c r="B23" s="14">
        <f>IF(B11&gt;0,B22/B11,0)</f>
        <v/>
      </c>
      <c r="C23" s="14">
        <f>IF(C11&gt;0,C22/C11,0)</f>
        <v/>
      </c>
      <c r="D23" s="14">
        <f>IF(D11&gt;0,D22/D11,0)</f>
        <v/>
      </c>
      <c r="E23" s="14">
        <f>IF(E11&gt;0,E22/E11,0)</f>
        <v/>
      </c>
      <c r="F23" s="14">
        <f>IF(F11&gt;0,F22/F11,0)</f>
        <v/>
      </c>
    </row>
    <row r="24">
      <c r="A24" s="25" t="inlineStr">
        <is>
          <t>배분 기준: 흑자 월 세전이익 합계</t>
        </is>
      </c>
      <c r="B24" s="16">
        <f>SUMIFS(월별전망!$C$38:$BJ$38,월별전망!$C$6:$BJ$6,B4,월별전망!$C$38:$BJ$38,"&gt;0")</f>
        <v/>
      </c>
      <c r="C24" s="16">
        <f>SUMIFS(월별전망!$C$38:$BJ$38,월별전망!$C$6:$BJ$6,C4,월별전망!$C$38:$BJ$38,"&gt;0")</f>
        <v/>
      </c>
      <c r="D24" s="16">
        <f>SUMIFS(월별전망!$C$38:$BJ$38,월별전망!$C$6:$BJ$6,D4,월별전망!$C$38:$BJ$38,"&gt;0")</f>
        <v/>
      </c>
      <c r="E24" s="16">
        <f>SUMIFS(월별전망!$C$38:$BJ$38,월별전망!$C$6:$BJ$6,E4,월별전망!$C$38:$BJ$38,"&gt;0")</f>
        <v/>
      </c>
      <c r="F24" s="16">
        <f>SUMIFS(월별전망!$C$38:$BJ$38,월별전망!$C$6:$BJ$6,F4,월별전망!$C$38:$BJ$38,"&gt;0")</f>
        <v/>
      </c>
    </row>
    <row r="26">
      <c r="A26" s="6" t="inlineStr">
        <is>
          <t>주의: 연간 세금·투자자 몫은 그 해 흑자 월에 세전이익 비율로 배분해 ‘월별전망’에 표시합니다. 적자인 해에는 0.</t>
        </is>
      </c>
    </row>
    <row r="27">
      <c r="A27" s="6" t="inlineStr">
        <is>
          <t>주의: 투자자 지분 6%는 법적으로 비용이 아니라 이익 배분(배당)입니다. 여기서는 요청대로 창업자 몫 순이익을 보기 위해 차감합니다.</t>
        </is>
      </c>
    </row>
  </sheetData>
  <conditionalFormatting sqref="B22:F22">
    <cfRule type="cellIs" priority="1" operator="lessThan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2026-09-24T09:25:49Z</dcterms:created>
  <dcterms:modified xsi:type="dcterms:W3CDTF">2026-09-24T09:25:49Z</dcterms:modified>
</cp:coreProperties>
</file>